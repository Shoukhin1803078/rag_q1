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500" firstSheet="5" activeTab="7"/>
  </bookViews>
  <sheets>
    <sheet name="Summary" sheetId="1" r:id="rId1"/>
    <sheet name="Sheet" sheetId="2" r:id="rId2"/>
    <sheet name="Papers" sheetId="3" r:id="rId3"/>
    <sheet name="Datasets" sheetId="4" r:id="rId4"/>
    <sheet name="Paper_Dataset_Map" sheetId="5" r:id="rId5"/>
    <sheet name="Our_Dataset_Plan" sheetId="6" r:id="rId6"/>
    <sheet name="Annotation_Template" sheetId="7" r:id="rId7"/>
    <sheet name="Run_Plan" sheetId="8" r:id="rId8"/>
    <sheet name="Verification_Log" sheetId="9" r:id="rId9"/>
  </sheets>
  <definedNames>
    <definedName name="_xlnm._FilterDatabase" localSheetId="2" hidden="1">Papers!$A$4:$N$43</definedName>
    <definedName name="_xlnm._FilterDatabase" localSheetId="3" hidden="1">Datasets!$A$4:$T$20</definedName>
    <definedName name="_xlnm._FilterDatabase" localSheetId="4" hidden="1">Paper_Dataset_Map!$A$4:$F$25</definedName>
    <definedName name="_xlnm._FilterDatabase" localSheetId="5" hidden="1">Our_Dataset_Plan!$A$4:$I$11</definedName>
    <definedName name="_xlnm._FilterDatabase" localSheetId="6" hidden="1">Annotation_Template!$A$4:$Q$204</definedName>
    <definedName name="_xlnm._FilterDatabase" localSheetId="7" hidden="1">Run_Plan!$A$10:$K$18</definedName>
    <definedName name="_xlnm._FilterDatabase" localSheetId="8" hidden="1">Verification_Log!$A$4:$D$17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<sst xmlns="http://schemas.openxmlformats.org/spreadsheetml/2006/main" count="1037" uniqueCount="641">
  <si>
    <t>Multimodal agentic retrieval study: research tracker</t>
  </si>
  <si>
    <t>Beyond Hop Count (SDM-MAR). All counts below are formulas over the other sheets.</t>
  </si>
  <si>
    <t>Questions per dataset</t>
  </si>
  <si>
    <t>Papers tracked</t>
  </si>
  <si>
    <t>Papers fully read by you</t>
  </si>
  <si>
    <t>Papers not read by anyone (flagged)</t>
  </si>
  <si>
    <t>Datasets listed</t>
  </si>
  <si>
    <t>Datasets with unverified or gated access</t>
  </si>
  <si>
    <t>Datasets downloaded or indexed</t>
  </si>
  <si>
    <t>Total planned agent runs</t>
  </si>
  <si>
    <t>Primary dataset (CrossModalQA) status</t>
  </si>
  <si>
    <t>Sheets</t>
  </si>
  <si>
    <t>Papers</t>
  </si>
  <si>
    <t>39 related papers with links, strands, findings, gaps</t>
  </si>
  <si>
    <t>Datasets</t>
  </si>
  <si>
    <t>16 datasets: primary, external, secondary, text control, private layer</t>
  </si>
  <si>
    <t>Paper_Dataset_Map</t>
  </si>
  <si>
    <t>Which paper introduces or uses which dataset</t>
  </si>
  <si>
    <t>Our_Dataset_Plan</t>
  </si>
  <si>
    <t>Exact datasets for this study and actions</t>
  </si>
  <si>
    <t>Annotation_Template</t>
  </si>
  <si>
    <t>Per-question structural annotation with checks</t>
  </si>
  <si>
    <t>Run_Plan</t>
  </si>
  <si>
    <t>Run count and cost planner</t>
  </si>
  <si>
    <t>Verification_Log</t>
  </si>
  <si>
    <t>What is verified and what is not</t>
  </si>
  <si>
    <t>Legend: yellow cells are for your input; all other numbers are formulas or sourced facts. Links are blue.</t>
  </si>
  <si>
    <t>Related papers (37 verified-at-abstract-level + 2 unread)</t>
  </si>
  <si>
    <t>Yellow = your input. 'Authors: see paper' means the author list was not read in this study; complete before citing. Relevance 1-5 is my initial suggestion; change it.</t>
  </si>
  <si>
    <t>ID</t>
  </si>
  <si>
    <t>Short name</t>
  </si>
  <si>
    <t>Title</t>
  </si>
  <si>
    <t>Authors</t>
  </si>
  <si>
    <t>Year</t>
  </si>
  <si>
    <t>Venue / ID</t>
  </si>
  <si>
    <t>Link</t>
  </si>
  <si>
    <t>Strand</t>
  </si>
  <si>
    <t>Key finding (as read)</t>
  </si>
  <si>
    <t>Gap vs our study</t>
  </si>
  <si>
    <t>Read depth</t>
  </si>
  <si>
    <t>Relevance (1-5)</t>
  </si>
  <si>
    <t>Your notes</t>
  </si>
  <si>
    <t>Full text read?</t>
  </si>
  <si>
    <t>P01</t>
  </si>
  <si>
    <t>LIMIT</t>
  </si>
  <si>
    <t>On the theoretical limitations of embedding-based retrieval</t>
  </si>
  <si>
    <t>see paper (not verified here)</t>
  </si>
  <si>
    <t>2025</t>
  </si>
  <si>
    <t>arXiv 2508.21038; ICLR 2026</t>
  </si>
  <si>
    <t>https://arxiv.org/abs/2508.21038</t>
  </si>
  <si>
    <t>Embedding capacity theory</t>
  </si>
  <si>
    <t>Single d-dim vector cannot realise all top-k subsets (d &gt;= log C(n,k)/log(1+1/gamma)); SOTA &lt;20% recall@100 on LIMIT data; authors say iterative retrieval unexplored</t>
  </si>
  <si>
    <t>Single stage; no rounds, no images</t>
  </si>
  <si>
    <t>Abstract/summary</t>
  </si>
  <si>
    <t>Not yet</t>
  </si>
  <si>
    <t>P02</t>
  </si>
  <si>
    <t>Dimensionality barrier?</t>
  </si>
  <si>
    <t>Is dimensionality a barrier for retrieval models?</t>
  </si>
  <si>
    <t>see paper</t>
  </si>
  <si>
    <t>2026</t>
  </si>
  <si>
    <t>arXiv 2605.23556</t>
  </si>
  <si>
    <t>https://arxiv.org/abs/2605.23556</t>
  </si>
  <si>
    <t>Margin embeddings need d = O(k log(n/k)) for k-sparse cases; matching lower bound</t>
  </si>
  <si>
    <t>Single stage</t>
  </si>
  <si>
    <t>P03</t>
  </si>
  <si>
    <t>Multi-vector expressiveness</t>
  </si>
  <si>
    <t>Multi-vector embeddings are provably more expressive than single-vector</t>
  </si>
  <si>
    <t>arXiv 2606.23475</t>
  </si>
  <si>
    <t>https://arxiv.org/abs/2606.23475</t>
  </si>
  <si>
    <t>Exponential dimension lower bound for approximating Chamfer similarity with inner products</t>
  </si>
  <si>
    <t>Static; no multi-round</t>
  </si>
  <si>
    <t>P04</t>
  </si>
  <si>
    <t>Fano-style bound</t>
  </si>
  <si>
    <t>Fano-style accuracy upper bound for single-pass LLM reasoning</t>
  </si>
  <si>
    <t>arXiv 2509.21199</t>
  </si>
  <si>
    <t>https://arxiv.org/abs/2509.21199</t>
  </si>
  <si>
    <t>Single-pass reasoning bound</t>
  </si>
  <si>
    <t>Accuracy cliff when information demand exceeds capacity</t>
  </si>
  <si>
    <t>Closed-book, single pass; excludes retrieval and agents</t>
  </si>
  <si>
    <t>P05</t>
  </si>
  <si>
    <t>WideSearch</t>
  </si>
  <si>
    <t>WideSearch: benchmarking agentic broad info-seeking</t>
  </si>
  <si>
    <t>arXiv 2508.07999</t>
  </si>
  <si>
    <t>https://arxiv.org/abs/2508.07999</t>
  </si>
  <si>
    <t>Wide vs deep search</t>
  </si>
  <si>
    <t>Best system about 5% on broad tasks</t>
  </si>
  <si>
    <t>Empirical; no theory</t>
  </si>
  <si>
    <t>P06</t>
  </si>
  <si>
    <t>HybridDeepSearcher</t>
  </si>
  <si>
    <t>HybridDeepSearcher: scaling parallel and sequential search</t>
  </si>
  <si>
    <t>arXiv 2508.19113</t>
  </si>
  <si>
    <t>https://arxiv.org/abs/2508.19113</t>
  </si>
  <si>
    <t>+15.9 F1 on FanOutQA</t>
  </si>
  <si>
    <t>Method</t>
  </si>
  <si>
    <t>P07</t>
  </si>
  <si>
    <t>ExpandSearch</t>
  </si>
  <si>
    <t>ExpandSearch: query expansion with RL for search agents</t>
  </si>
  <si>
    <t>arXiv 2510.10009</t>
  </si>
  <si>
    <t>https://arxiv.org/abs/2510.10009</t>
  </si>
  <si>
    <t>Multi-query expansion, +4.4% average; cites LIMIT</t>
  </si>
  <si>
    <t>Method; no theory of rounds</t>
  </si>
  <si>
    <t>P08</t>
  </si>
  <si>
    <t>GraphRAG iterative</t>
  </si>
  <si>
    <t>Iterative retrieval in GraphRAG (empirical study)</t>
  </si>
  <si>
    <t>arXiv 2509.25530</t>
  </si>
  <si>
    <t>https://arxiv.org/abs/2509.25530</t>
  </si>
  <si>
    <t>Iterative retrieval</t>
  </si>
  <si>
    <t>Iteration helps bridge-heavy questions</t>
  </si>
  <si>
    <t>Text only; observational</t>
  </si>
  <si>
    <t>P09</t>
  </si>
  <si>
    <t>Iterative RAG vs ideal evidence</t>
  </si>
  <si>
    <t>When iterative RAG beats ideal evidence</t>
  </si>
  <si>
    <t>arXiv 2601.19827</t>
  </si>
  <si>
    <t>https://arxiv.org/abs/2601.19827</t>
  </si>
  <si>
    <t>+3.74% 2Wiki, +8.41% MuSiQue; fails on single-hop; bridge docs buried beyond top-10</t>
  </si>
  <si>
    <t>Text only; no structure model</t>
  </si>
  <si>
    <t>P10</t>
  </si>
  <si>
    <t>Predictable failure</t>
  </si>
  <si>
    <t>Predictable failure in multi-hop retrieval</t>
  </si>
  <si>
    <t>arXiv 2609.22056</t>
  </si>
  <si>
    <t>https://arxiv.org/abs/2609.22056</t>
  </si>
  <si>
    <t>Failures cluster; retrieval features predict them</t>
  </si>
  <si>
    <t>Features are scores, not structure; text</t>
  </si>
  <si>
    <t>P11</t>
  </si>
  <si>
    <t>VisDocAgentBench</t>
  </si>
  <si>
    <t>VisDocAgentBench: Benchmarking agents for visually rich document retrieval</t>
  </si>
  <si>
    <t>Hu L., Zhang Y., Li M., Long D., Li Y., Zhang F., Wang Y., Lin Z.</t>
  </si>
  <si>
    <t>arXiv 2608.17889</t>
  </si>
  <si>
    <t>https://arxiv.org/abs/2608.17889</t>
  </si>
  <si>
    <t>Multimodal agentic benchmark</t>
  </si>
  <si>
    <t>97.50% R@1 direct vs 2.50% two-bridge; best agent 67.50%; 120 queries</t>
  </si>
  <si>
    <t>Measures collapse; small</t>
  </si>
  <si>
    <t>Page read</t>
  </si>
  <si>
    <t>P12</t>
  </si>
  <si>
    <t>Double-Bench</t>
  </si>
  <si>
    <t>Are we on the right way for assessing document RAG? (Double-Bench)</t>
  </si>
  <si>
    <t>Shen W., Wang M., Wang Y., Chen D., Yang J., Wan Y., Lin W.</t>
  </si>
  <si>
    <t>arXiv 2508.03644</t>
  </si>
  <si>
    <t>https://arxiv.org/abs/2508.03644</t>
  </si>
  <si>
    <t>5,168 queries (2,668 multi-hop), 72,880 pages, 6 languages, CC BY 4.0</t>
  </si>
  <si>
    <t>Hop depth beyond 2 unclear</t>
  </si>
  <si>
    <t>P13</t>
  </si>
  <si>
    <t>BrowseComp-V3</t>
  </si>
  <si>
    <t>BrowseComp-V3: a visual, vertical, verifiable benchmark for multimodal browsing agents</t>
  </si>
  <si>
    <t>Zhang H. et al.</t>
  </si>
  <si>
    <t>arXiv 2602.12876</t>
  </si>
  <si>
    <t>https://arxiv.org/abs/2602.12876</t>
  </si>
  <si>
    <t>300 questions; humans 68%, best model 36-39%; OmniSeeker agent</t>
  </si>
  <si>
    <t>Small; web search not fixed corpus</t>
  </si>
  <si>
    <t>P14</t>
  </si>
  <si>
    <t>MultiHaystack</t>
  </si>
  <si>
    <t>MultiHaystack (mixed-modality large corpus)</t>
  </si>
  <si>
    <t>arXiv 2603.05697</t>
  </si>
  <si>
    <t>https://arxiv.org/abs/2603.05697</t>
  </si>
  <si>
    <t>46,000 items, 747 questions; 80.86% gold vs 51.4% top-5</t>
  </si>
  <si>
    <t>Depth structure not stated</t>
  </si>
  <si>
    <t>P15</t>
  </si>
  <si>
    <t>CrossModalQA</t>
  </si>
  <si>
    <t>CrossModalQA: cross-modal and multi-hop benchmark for multimodal RAG</t>
  </si>
  <si>
    <t>Cai J., Hong Z., Yuan Z., Zhou H., Zhang Q., Huang X.</t>
  </si>
  <si>
    <t>arXiv 2609.05518</t>
  </si>
  <si>
    <t>https://arxiv.org/abs/2609.05518</t>
  </si>
  <si>
    <t>Multimodal multi-hop dataset</t>
  </si>
  <si>
    <t>1,863 QA; 4,987 articles; 4,431 images; mean 3.50 hops; subgraphs kept</t>
  </si>
  <si>
    <t>No code/data link found; path categories may overlap structure</t>
  </si>
  <si>
    <t>P16</t>
  </si>
  <si>
    <t>MultimodalQA</t>
  </si>
  <si>
    <t>MultiModalQA: complex QA over text, tables and images</t>
  </si>
  <si>
    <t>Talmor A., Yoran O., Catav A., Lahav D., Wang Y., Asai A., Ilharco G., Hajishirzi H., Berant J.</t>
  </si>
  <si>
    <t>2021</t>
  </si>
  <si>
    <t>ICLR 2021; arXiv 2104.06039</t>
  </si>
  <si>
    <t>https://arxiv.org/abs/2104.06039</t>
  </si>
  <si>
    <t>~30k questions; ImplicitDecomp F1 51.7 cross-modal vs human 90.1</t>
  </si>
  <si>
    <t>No agent</t>
  </si>
  <si>
    <t>P17</t>
  </si>
  <si>
    <t>CMC-Bench</t>
  </si>
  <si>
    <t>CMC-Bench: cross-modal conflict benchmark</t>
  </si>
  <si>
    <t>ACL MAGMAR 2026</t>
  </si>
  <si>
    <t>https://aclanthology.org/2026.magmar-main.3/</t>
  </si>
  <si>
    <t>Cross-modal conflict</t>
  </si>
  <si>
    <t>3,768 instances; accuracy drops 0.17-0.46</t>
  </si>
  <si>
    <t>Engineered, static</t>
  </si>
  <si>
    <t>P18</t>
  </si>
  <si>
    <t>CLASH</t>
  </si>
  <si>
    <t>CLASH: image-caption contradiction cases</t>
  </si>
  <si>
    <t>CVPR 2026 Findings; arXiv 2511.19199</t>
  </si>
  <si>
    <t>https://arxiv.org/abs/2511.19199</t>
  </si>
  <si>
    <t>1,289 human-verified cases</t>
  </si>
  <si>
    <t>Not retrieval</t>
  </si>
  <si>
    <t>P19</t>
  </si>
  <si>
    <t>MMKC-Bench</t>
  </si>
  <si>
    <t>MMKC-Bench: multimodal knowledge conflict</t>
  </si>
  <si>
    <t>n/v</t>
  </si>
  <si>
    <t>AAAI</t>
  </si>
  <si>
    <t>https://ojs.aaai.org/index.php/AAAI/article/view/39385</t>
  </si>
  <si>
    <t>1,881 instances; models favour internal knowledge</t>
  </si>
  <si>
    <t>Not agentic</t>
  </si>
  <si>
    <t>P20</t>
  </si>
  <si>
    <t>AgenticRAG-FP</t>
  </si>
  <si>
    <t>AgenticRAG-FP: interventional fault injection for agentic RAG</t>
  </si>
  <si>
    <t>arXiv 2608.20627</t>
  </si>
  <si>
    <t>https://arxiv.org/abs/2608.20627</t>
  </si>
  <si>
    <t>Causal failure attribution</t>
  </si>
  <si>
    <t>Diagnosis 0.91 at hop 1 but 0.00 later hops</t>
  </si>
  <si>
    <t>Text; tiny samples</t>
  </si>
  <si>
    <t>P21</t>
  </si>
  <si>
    <t>Causal Agent Replay</t>
  </si>
  <si>
    <t>arXiv 2606.08275</t>
  </si>
  <si>
    <t>https://arxiv.org/abs/2606.08275</t>
  </si>
  <si>
    <t>SCM + intervention algebra + Shapley credit</t>
  </si>
  <si>
    <t>General agents</t>
  </si>
  <si>
    <t>P22</t>
  </si>
  <si>
    <t>Causal attribution (agentic)</t>
  </si>
  <si>
    <t>Causal attribution for agentic decisions</t>
  </si>
  <si>
    <t>arXiv 2609.06445</t>
  </si>
  <si>
    <t>https://arxiv.org/abs/2609.06445</t>
  </si>
  <si>
    <t>Marginal vs common-random-number effects</t>
  </si>
  <si>
    <t>Specification only</t>
  </si>
  <si>
    <t>P23</t>
  </si>
  <si>
    <t>EvidentialRAG</t>
  </si>
  <si>
    <t>EvidentialRAG: Dirichlet evidence + Dempster-Shafer fusion</t>
  </si>
  <si>
    <t>arXiv 2607.10491</t>
  </si>
  <si>
    <t>https://arxiv.org/abs/2607.10491</t>
  </si>
  <si>
    <t>Evidence fusion</t>
  </si>
  <si>
    <t>CRAG hallucination 45.3% to 34.8%</t>
  </si>
  <si>
    <t>Text; not agentic</t>
  </si>
  <si>
    <t>P24</t>
  </si>
  <si>
    <t>VisBrowse</t>
  </si>
  <si>
    <t>VisBrowse-Bench</t>
  </si>
  <si>
    <t>arXiv 2603.16289</t>
  </si>
  <si>
    <t>https://arxiv.org/abs/2603.16289</t>
  </si>
  <si>
    <t>Image-centric browsing</t>
  </si>
  <si>
    <t>Not read in detail</t>
  </si>
  <si>
    <t>P25</t>
  </si>
  <si>
    <t>MAGE-RAG</t>
  </si>
  <si>
    <t>MAGE-RAG multimodal agentic controller</t>
  </si>
  <si>
    <t>arXiv 2606.15906</t>
  </si>
  <si>
    <t>https://arxiv.org/abs/2606.15906</t>
  </si>
  <si>
    <t>Method papers</t>
  </si>
  <si>
    <t>Controller / stopping</t>
  </si>
  <si>
    <t>P26</t>
  </si>
  <si>
    <t>ODE</t>
  </si>
  <si>
    <t>ODE: data evolution for multimodal search agents</t>
  </si>
  <si>
    <t>arXiv 2605.10832</t>
  </si>
  <si>
    <t>https://arxiv.org/abs/2605.10832</t>
  </si>
  <si>
    <t>Data evolution</t>
  </si>
  <si>
    <t>P27</t>
  </si>
  <si>
    <t>M3Att</t>
  </si>
  <si>
    <t>M3Att: attacks on medical multimodal RAG</t>
  </si>
  <si>
    <t>arXiv 2605.10253</t>
  </si>
  <si>
    <t>https://arxiv.org/abs/2605.10253</t>
  </si>
  <si>
    <t>Security</t>
  </si>
  <si>
    <t>~8.78% utility drop</t>
  </si>
  <si>
    <t>Static pipelines</t>
  </si>
  <si>
    <t>P28</t>
  </si>
  <si>
    <t>ConfBench</t>
  </si>
  <si>
    <t>ConfBench: confidence calibration for document extraction</t>
  </si>
  <si>
    <t>arXiv 2608.01792</t>
  </si>
  <si>
    <t>https://arxiv.org/abs/2608.01792</t>
  </si>
  <si>
    <t>Calibration</t>
  </si>
  <si>
    <t>Calibration benchmark</t>
  </si>
  <si>
    <t>Not structural</t>
  </si>
  <si>
    <t>P29</t>
  </si>
  <si>
    <t>Controlled evaluation</t>
  </si>
  <si>
    <t>Controlled evaluation of multimodal APIs</t>
  </si>
  <si>
    <t>arXiv 2607.16604</t>
  </si>
  <si>
    <t>https://arxiv.org/abs/2607.16604</t>
  </si>
  <si>
    <t>Cost planning</t>
  </si>
  <si>
    <t>Image-token counts differ ~11x across providers</t>
  </si>
  <si>
    <t>P30</t>
  </si>
  <si>
    <t>RAG as noisy ICL</t>
  </si>
  <si>
    <t>RAG as noisy in-context learning</t>
  </si>
  <si>
    <t>arXiv 2506.03100</t>
  </si>
  <si>
    <t>https://arxiv.org/abs/2506.03100</t>
  </si>
  <si>
    <t>Theory background</t>
  </si>
  <si>
    <t>Single-step RAG theory</t>
  </si>
  <si>
    <t>Single step</t>
  </si>
  <si>
    <t>P31</t>
  </si>
  <si>
    <t>LogicalRAG</t>
  </si>
  <si>
    <t>LogicalRAG: agentic retrieval beyond embeddings</t>
  </si>
  <si>
    <t>arXiv 2605.27123</t>
  </si>
  <si>
    <t>https://arxiv.org/abs/2605.27123</t>
  </si>
  <si>
    <t>Logic-based retrieval</t>
  </si>
  <si>
    <t>P32</t>
  </si>
  <si>
    <t>MMDocRAG</t>
  </si>
  <si>
    <t>Benchmarking retrieval-augmented multimodal generation for document QA</t>
  </si>
  <si>
    <t>arXiv 2505.16470</t>
  </si>
  <si>
    <t>https://arxiv.org/abs/2505.16470</t>
  </si>
  <si>
    <t>Multimodal document benchmark</t>
  </si>
  <si>
    <t>4,055 QA, 222 documents</t>
  </si>
  <si>
    <t>Chain structure needs extraction</t>
  </si>
  <si>
    <t>Search result only</t>
  </si>
  <si>
    <t>P33</t>
  </si>
  <si>
    <t>MMLongBench-Doc</t>
  </si>
  <si>
    <t>2024</t>
  </si>
  <si>
    <t>NeurIPS 2024 D&amp;B; arXiv 2407.01523</t>
  </si>
  <si>
    <t>https://arxiv.org/abs/2407.01523</t>
  </si>
  <si>
    <t>130 documents, 1,062 questions</t>
  </si>
  <si>
    <t>P34</t>
  </si>
  <si>
    <t>LongDocURL</t>
  </si>
  <si>
    <t>ACL 2025; arXiv 2412.18424</t>
  </si>
  <si>
    <t>https://arxiv.org/abs/2412.18424</t>
  </si>
  <si>
    <t>2,325 QA, 33,000+ pages</t>
  </si>
  <si>
    <t>P35</t>
  </si>
  <si>
    <t>MRAMG-Bench</t>
  </si>
  <si>
    <t>MRAMG-Bench: BeyondText benchmark for multimodal RAG generation</t>
  </si>
  <si>
    <t>SIGIR 2025; arXiv 2502.04176</t>
  </si>
  <si>
    <t>https://arxiv.org/abs/2502.04176</t>
  </si>
  <si>
    <t>4,800 QA, 4,346 docs, 14,190 images</t>
  </si>
  <si>
    <t>Generation focus</t>
  </si>
  <si>
    <t>P36</t>
  </si>
  <si>
    <t>MMSearch-Plus</t>
  </si>
  <si>
    <t>MMSearch-Plus: provenance-aware search for multimodal browsing agents</t>
  </si>
  <si>
    <t>ICLR 2026</t>
  </si>
  <si>
    <t>https://github.com/mmsearch-plus/MMSearch-Plus</t>
  </si>
  <si>
    <t>Provenance-aware multimodal browsing</t>
  </si>
  <si>
    <t>Size not verified</t>
  </si>
  <si>
    <t>P37</t>
  </si>
  <si>
    <t>Agent psychometrics</t>
  </si>
  <si>
    <t>Agent psychometrics (task-level success prediction)</t>
  </si>
  <si>
    <t>entry incomplete</t>
  </si>
  <si>
    <t>(to be completed)</t>
  </si>
  <si>
    <t>Prediction precedent</t>
  </si>
  <si>
    <t>Per-task agent success predicted, AUC 0.67-0.92</t>
  </si>
  <si>
    <t>Not retrieval structure; reference NOT re-verified</t>
  </si>
  <si>
    <t>From earlier reading</t>
  </si>
  <si>
    <t>P38</t>
  </si>
  <si>
    <t>Unread 2609.38743</t>
  </si>
  <si>
    <t>Multi-step embedding retrieval (title not verified)</t>
  </si>
  <si>
    <t>not read</t>
  </si>
  <si>
    <t>arXiv 2609.38743</t>
  </si>
  <si>
    <t>https://arxiv.org/abs/2609.38743</t>
  </si>
  <si>
    <t>Possible overlap</t>
  </si>
  <si>
    <t>NOT READ (rate-limited)</t>
  </si>
  <si>
    <t>Must read before submission</t>
  </si>
  <si>
    <t>Not read</t>
  </si>
  <si>
    <t>P39</t>
  </si>
  <si>
    <t>Unread 2609.38222</t>
  </si>
  <si>
    <t>Title not verified</t>
  </si>
  <si>
    <t>arXiv 2609.38222</t>
  </si>
  <si>
    <t>https://arxiv.org/abs/2609.38222</t>
  </si>
  <si>
    <t>Multimodal and related benchmarking datasets</t>
  </si>
  <si>
    <t>Yellow = fill in. Counts are the sizes stated by papers. 'Verification' says how much I could check. Disk size could not be read in this study; fill from each repository page.</t>
  </si>
  <si>
    <t>Dataset</t>
  </si>
  <si>
    <t>Category</t>
  </si>
  <si>
    <t>Modality</t>
  </si>
  <si>
    <t>Task</t>
  </si>
  <si>
    <t>Questions</t>
  </si>
  <si>
    <t>Docs / pages / items</t>
  </si>
  <si>
    <t>Images</t>
  </si>
  <si>
    <t>Structure info</t>
  </si>
  <si>
    <t>Language</t>
  </si>
  <si>
    <t>Paper</t>
  </si>
  <si>
    <t>Paper link</t>
  </si>
  <si>
    <t>Data / project link</t>
  </si>
  <si>
    <t>Licence (as seen)</t>
  </si>
  <si>
    <t>Access</t>
  </si>
  <si>
    <t>Verification</t>
  </si>
  <si>
    <t>Role in our study</t>
  </si>
  <si>
    <t>Notes / action</t>
  </si>
  <si>
    <t>Disk size (GB)</t>
  </si>
  <si>
    <t>Download status</t>
  </si>
  <si>
    <t>D01</t>
  </si>
  <si>
    <t>Primary (discovery)</t>
  </si>
  <si>
    <t>Text + images (Wikipedia, Wikimedia Commons)</t>
  </si>
  <si>
    <t>Cross-modal multi-hop QA</t>
  </si>
  <si>
    <t>Mean 3.50 hops; &gt;40% need 4+; 5 reasoning-path categories; supporting evidence subgraphs kept</t>
  </si>
  <si>
    <t>English</t>
  </si>
  <si>
    <t>NOT FOUND in paper</t>
  </si>
  <si>
    <t>Not stated (arXiv licence only)</t>
  </si>
  <si>
    <t>UNVERIFIED - no public link found</t>
  </si>
  <si>
    <t>Paper page read; release not verified</t>
  </si>
  <si>
    <t>Primary dataset: subgraphs give H, MS, edge types</t>
  </si>
  <si>
    <t>ACTION: email authors (Cai et al.) for data. LLM-generated with filtering -&gt; human-check 100 q. Docs column = Wikipedia articles.</t>
  </si>
  <si>
    <t>Not started</t>
  </si>
  <si>
    <t>D02</t>
  </si>
  <si>
    <t>External validation</t>
  </si>
  <si>
    <t>Visually rich document pages</t>
  </si>
  <si>
    <t>Agentic document retrieval</t>
  </si>
  <si>
    <t>Bridge levels L1/L2/L3 (0/1/2 bridges); 100 arXiv papers</t>
  </si>
  <si>
    <t>https://hulx2002.github.io/VisDocAgentBench</t>
  </si>
  <si>
    <t>Per-document arXiv licences</t>
  </si>
  <si>
    <t>Public per project page (verify)</t>
  </si>
  <si>
    <t>External test of frozen model</t>
  </si>
  <si>
    <t>Small (120 q): wide CIs. Docs column = pages.</t>
  </si>
  <si>
    <t>D03</t>
  </si>
  <si>
    <t>Document pages (text, tables, figures), 6 languages</t>
  </si>
  <si>
    <t>Single- and multi-hop document RAG</t>
  </si>
  <si>
    <t>2,668 multi-hop queries; 3,276 documents; evidence labels; 92% annotator agreement</t>
  </si>
  <si>
    <t>6 languages</t>
  </si>
  <si>
    <t>https://double-bench.github.io/</t>
  </si>
  <si>
    <t>CC BY 4.0 (stated on arXiv page)</t>
  </si>
  <si>
    <t>Public (verify download on project site)</t>
  </si>
  <si>
    <t>Hop depth beyond 2 unclear. Docs column = pages.</t>
  </si>
  <si>
    <t>D04</t>
  </si>
  <si>
    <t>Web text + images</t>
  </si>
  <si>
    <t>Multimodal browsing / deep search</t>
  </si>
  <si>
    <t>Hop-count metadata; expert sub-goals; full trajectories</t>
  </si>
  <si>
    <t>Not stated on arXiv page</t>
  </si>
  <si>
    <t>Earlier check: HF release, CC BY 4.0, encrypted</t>
  </si>
  <si>
    <t>Gated/encrypted (re-verify)</t>
  </si>
  <si>
    <t>Partly verified</t>
  </si>
  <si>
    <t>External test + trajectory analysis</t>
  </si>
  <si>
    <t>Web search, not fixed corpus. Needs decryption key per release notes.</t>
  </si>
  <si>
    <t>D05</t>
  </si>
  <si>
    <t>Fallback / secondary</t>
  </si>
  <si>
    <t>Text, tables, images (Wikipedia)</t>
  </si>
  <si>
    <t>Multi-hop multimodal QA</t>
  </si>
  <si>
    <t>Questions need joint reasoning over modalities</t>
  </si>
  <si>
    <t>https://github.com/allenai/multimodalqa</t>
  </si>
  <si>
    <t>Not verified</t>
  </si>
  <si>
    <t>Public (repo not re-verified)</t>
  </si>
  <si>
    <t>Paper read; repo link from background knowledge</t>
  </si>
  <si>
    <t>Rebuild structure if D01 unavailable</t>
  </si>
  <si>
    <t>Needs evidence-graph extraction.</t>
  </si>
  <si>
    <t>D06</t>
  </si>
  <si>
    <t>Secondary multimodal</t>
  </si>
  <si>
    <t>Long documents: text, table, chart, image quotes</t>
  </si>
  <si>
    <t>Document multimodal RAG / generation</t>
  </si>
  <si>
    <t>Cross-modal quotes inside documents</t>
  </si>
  <si>
    <t>https://mmdocrag.github.io/MMDocRAG/</t>
  </si>
  <si>
    <t>https://huggingface.co/datasets/MMDocIR/MMDocRAG</t>
  </si>
  <si>
    <t>Public (link seen in search)</t>
  </si>
  <si>
    <t>Optional replication. Docs column = documents.</t>
  </si>
  <si>
    <t>D07</t>
  </si>
  <si>
    <t>Long PDFs with figures/tables</t>
  </si>
  <si>
    <t>Long-document QA</t>
  </si>
  <si>
    <t>Single/multi-page, cross-page</t>
  </si>
  <si>
    <t>https://github.com/mayubo2333/MMLongBench-Doc</t>
  </si>
  <si>
    <t>https://huggingface.co/datasets/yubo2333/MMLongBench-Doc</t>
  </si>
  <si>
    <t>D08</t>
  </si>
  <si>
    <t>Long multimodal documents</t>
  </si>
  <si>
    <t>Understanding, reasoning, locating</t>
  </si>
  <si>
    <t>Cross-element, multi-page</t>
  </si>
  <si>
    <t>https://github.com/dengc2023/LongDocURL</t>
  </si>
  <si>
    <t>https://huggingface.co/datasets/dengchao/LongDocURL</t>
  </si>
  <si>
    <t>Docs column = pages (33,000+).</t>
  </si>
  <si>
    <t>D09</t>
  </si>
  <si>
    <t>Documents + images</t>
  </si>
  <si>
    <t>Multimodal answer generation</t>
  </si>
  <si>
    <t>Mixed text/image answers</t>
  </si>
  <si>
    <t>https://github.com/MRAMG-Bench/MRAMG</t>
  </si>
  <si>
    <t>https://huggingface.co/datasets/MRAMG/MRAMG-Bench</t>
  </si>
  <si>
    <t>Generation-focused. Docs column = documents.</t>
  </si>
  <si>
    <t>D10</t>
  </si>
  <si>
    <t>Optional transfer</t>
  </si>
  <si>
    <t>Large mixed-modality corpus</t>
  </si>
  <si>
    <t>Evidence-grounded QA over 46k items</t>
  </si>
  <si>
    <t>Not stated</t>
  </si>
  <si>
    <t>Unverified</t>
  </si>
  <si>
    <t>Abstract only</t>
  </si>
  <si>
    <t>Optional large-corpus test</t>
  </si>
  <si>
    <t>Docs column = items.</t>
  </si>
  <si>
    <t>D11</t>
  </si>
  <si>
    <t>Multimodal browsing</t>
  </si>
  <si>
    <t>Provenance-aware search</t>
  </si>
  <si>
    <t>https://mmsearch-plus.github.io/</t>
  </si>
  <si>
    <t>https://github.com/mmsearch-plus/MMSearch-Plus ; https://huggingface.co/datasets/Cie1/MMSearch-Plus</t>
  </si>
  <si>
    <t>Public or gated (unverified)</t>
  </si>
  <si>
    <t>Size and access unverified.</t>
  </si>
  <si>
    <t>D12</t>
  </si>
  <si>
    <t>Visual browsing</t>
  </si>
  <si>
    <t>Find GitHub link in paper.</t>
  </si>
  <si>
    <t>D13</t>
  </si>
  <si>
    <t>MuSiQue</t>
  </si>
  <si>
    <t>Text control</t>
  </si>
  <si>
    <t>Text (Wikipedia)</t>
  </si>
  <si>
    <t>Multi-hop QA</t>
  </si>
  <si>
    <t>2-4 hop compositional questions</t>
  </si>
  <si>
    <t>https://arxiv.org/abs/2108.00573</t>
  </si>
  <si>
    <t>Not verified here</t>
  </si>
  <si>
    <t>Public (background knowledge)</t>
  </si>
  <si>
    <t>Background knowledge, link not re-verified</t>
  </si>
  <si>
    <t>Text-only control for H and CSL</t>
  </si>
  <si>
    <t>Used by P09 results. Verify link and licence.</t>
  </si>
  <si>
    <t>D14</t>
  </si>
  <si>
    <t>2WikiMultiHopQA</t>
  </si>
  <si>
    <t>Bridge/comparison types</t>
  </si>
  <si>
    <t>https://arxiv.org/abs/2011.01060</t>
  </si>
  <si>
    <t>Text-only control</t>
  </si>
  <si>
    <t>D15</t>
  </si>
  <si>
    <t>LIMIT dataset</t>
  </si>
  <si>
    <t>Background (theory)</t>
  </si>
  <si>
    <t>Text</t>
  </si>
  <si>
    <t>Embedding-limit test set</t>
  </si>
  <si>
    <t>Designed so top-k subsets stress single vectors</t>
  </si>
  <si>
    <t>Source of dimension-limit argument</t>
  </si>
  <si>
    <t>Possible template for synthetic generator.</t>
  </si>
  <si>
    <t>D16</t>
  </si>
  <si>
    <t>Own annotation layer</t>
  </si>
  <si>
    <t>Private (ours)</t>
  </si>
  <si>
    <t>Structural labels over D01-D04</t>
  </si>
  <si>
    <t>H, CSL, MS, edge types, bridge entities, node modalities</t>
  </si>
  <si>
    <t>100-question human validation set + agent run logs + caption set</t>
  </si>
  <si>
    <t>-</t>
  </si>
  <si>
    <t>Private until publication</t>
  </si>
  <si>
    <t>Private</t>
  </si>
  <si>
    <t>Built in this study</t>
  </si>
  <si>
    <t>Our contribution</t>
  </si>
  <si>
    <t>Release after acceptance if source licences allow.</t>
  </si>
  <si>
    <t>Lookups pull names from the Papers and Datasets sheets by ID (INDEX/MATCH).</t>
  </si>
  <si>
    <t>Paper ID</t>
  </si>
  <si>
    <t>Dataset ID</t>
  </si>
  <si>
    <t>Relation</t>
  </si>
  <si>
    <t>Introduces</t>
  </si>
  <si>
    <t>Evaluates on (MuSiQue results reported)</t>
  </si>
  <si>
    <t>Evaluates on (2Wiki results reported)</t>
  </si>
  <si>
    <t>Evaluates on (reported gains on bridge-heavy sets; dataset names to verify)</t>
  </si>
  <si>
    <t>Evaluates on FanOutQA (not in dataset sheet)</t>
  </si>
  <si>
    <t>Evaluates on CRAG (not in dataset sheet)</t>
  </si>
  <si>
    <t>Built from ChartQA/MMMU items (not in dataset sheet)</t>
  </si>
  <si>
    <t>Introduces WideSearch benchmark (see paper link)</t>
  </si>
  <si>
    <t>Introduces own interventional benchmark (text)</t>
  </si>
  <si>
    <t>Exact datasets we work on (decision sheet)</t>
  </si>
  <si>
    <t>Edit yellow cells as you obtain data. Question counts are pulled from the Datasets sheet.</t>
  </si>
  <si>
    <t>Role</t>
  </si>
  <si>
    <t>Use in study</t>
  </si>
  <si>
    <t>Action</t>
  </si>
  <si>
    <t>Status</t>
  </si>
  <si>
    <t>Discovery</t>
  </si>
  <si>
    <t>Primary: fit models A, B, C here (grouped CV). Structure from subgraphs.</t>
  </si>
  <si>
    <t>Contact authors; if no reply in 3 weeks, fallback D05 or switch primary to D03</t>
  </si>
  <si>
    <t>External 1</t>
  </si>
  <si>
    <t>Frozen-coefficient test; bridge levels give H.</t>
  </si>
  <si>
    <t>Download; annotate CSL, MS</t>
  </si>
  <si>
    <t>External 2</t>
  </si>
  <si>
    <t>Frozen-coefficient test; multi-hop subset.</t>
  </si>
  <si>
    <t>Download; annotate H beyond 2, CSL, MS</t>
  </si>
  <si>
    <t>External 3</t>
  </si>
  <si>
    <t>Frozen-coefficient test; trajectory analysis.</t>
  </si>
  <si>
    <t>Obtain decryption key per release notes</t>
  </si>
  <si>
    <t>Fallback</t>
  </si>
  <si>
    <t>Rebuild evidence subgraphs if D01 unavailable.</t>
  </si>
  <si>
    <t>Verify repo link</t>
  </si>
  <si>
    <t>Text-only check of H and CSL claims.</t>
  </si>
  <si>
    <t>Verify link, licence</t>
  </si>
  <si>
    <t>Own layer</t>
  </si>
  <si>
    <t>Annotations, 100-q human set, logs.</t>
  </si>
  <si>
    <t>Build</t>
  </si>
  <si>
    <t>Decision rule: if D01 is not obtained, state this in the paper and switch the primary dataset; do not claim results on it.</t>
  </si>
  <si>
    <t>Structural annotation template (one row per question)</t>
  </si>
  <si>
    <t>Yellow = annotate. Formulas check consistency. Row 5 is an EXAMPLE (fake IDs) - delete before use.</t>
  </si>
  <si>
    <t>Question ID</t>
  </si>
  <si>
    <t>Hops H</t>
  </si>
  <si>
    <t>T→T edges</t>
  </si>
  <si>
    <t>T→I edges</t>
  </si>
  <si>
    <t>I→T edges</t>
  </si>
  <si>
    <t>I→I edges</t>
  </si>
  <si>
    <t>Modality switches MS</t>
  </si>
  <si>
    <t>Edge count check</t>
  </si>
  <si>
    <t>CSL (primary, log2 neighbours)</t>
  </si>
  <si>
    <t>Retriever dim d</t>
  </si>
  <si>
    <t>Human-validated?</t>
  </si>
  <si>
    <t>Annotator 1 H</t>
  </si>
  <si>
    <t>Annotator 2 H</t>
  </si>
  <si>
    <t>H agree?</t>
  </si>
  <si>
    <t>Bridge entities (text)</t>
  </si>
  <si>
    <t>Notes</t>
  </si>
  <si>
    <t>Agreement on first 100 validated:</t>
  </si>
  <si>
    <t>EXAMPLE-001</t>
  </si>
  <si>
    <t>No</t>
  </si>
  <si>
    <t>b1; b2</t>
  </si>
  <si>
    <t>example only</t>
  </si>
  <si>
    <t>Experiment run and cost planner</t>
  </si>
  <si>
    <t>Runs = questions x agents x replicates x configurations. Cost per run is blank on purpose: estimate it from the 200-question pilot (image-token counts differ across providers).</t>
  </si>
  <si>
    <t>Assumptions</t>
  </si>
  <si>
    <t>Agents (VLM families)</t>
  </si>
  <si>
    <t>Checklist item 5: at least 2-3</t>
  </si>
  <si>
    <t>Replicates per question</t>
  </si>
  <si>
    <t>Checklist item 6</t>
  </si>
  <si>
    <t>Retriever dimensions in sweep</t>
  </si>
  <si>
    <t>d = 32,64,128,256,512</t>
  </si>
  <si>
    <t>Intervention variants</t>
  </si>
  <si>
    <t>Oracle bridge, caption, dimension (dimension counted in sweep)</t>
  </si>
  <si>
    <t>Pilot questions</t>
  </si>
  <si>
    <t>One agent, one retriever</t>
  </si>
  <si>
    <t>Stage</t>
  </si>
  <si>
    <t>Agents</t>
  </si>
  <si>
    <t>Replicates</t>
  </si>
  <si>
    <t>Configs per question</t>
  </si>
  <si>
    <t>Total runs</t>
  </si>
  <si>
    <t>Cost per run (USD)</t>
  </si>
  <si>
    <t>Estimated cost (USD)</t>
  </si>
  <si>
    <t>Note</t>
  </si>
  <si>
    <t>Pilot</t>
  </si>
  <si>
    <t>Main: baseline + dimension sweep</t>
  </si>
  <si>
    <t>Models A,B,C data</t>
  </si>
  <si>
    <t>Main: oracle bridge</t>
  </si>
  <si>
    <t>One extra config</t>
  </si>
  <si>
    <t>Main: image to caption</t>
  </si>
  <si>
    <t>External: VisDocAgentBench</t>
  </si>
  <si>
    <t>Single retriever</t>
  </si>
  <si>
    <t>External: Double-Bench</t>
  </si>
  <si>
    <t>Consider a subsample (cost)</t>
  </si>
  <si>
    <t>External: BrowseComp-V3</t>
  </si>
  <si>
    <t>Web search; cost differs</t>
  </si>
  <si>
    <t>TOTAL</t>
  </si>
  <si>
    <t>Note: Double-Bench and BrowseComp-V3 sizes come from the Datasets sheet; a blank question count (unverified dataset) gives 0 runs.</t>
  </si>
  <si>
    <t>What was and was not verified</t>
  </si>
  <si>
    <t>Honest status of each key fact; use this before citing anything.</t>
  </si>
  <si>
    <t>Item</t>
  </si>
  <si>
    <t>Date</t>
  </si>
  <si>
    <t>Action / note</t>
  </si>
  <si>
    <t>CrossModalQA authors, size, mean hops</t>
  </si>
  <si>
    <t>Verified on arXiv HTML page</t>
  </si>
  <si>
    <t>2026-10-02</t>
  </si>
  <si>
    <t>arXiv 2609.05518 (HTML)</t>
  </si>
  <si>
    <t>CrossModalQA public data/code link</t>
  </si>
  <si>
    <t>NOT found in paper; licence shown is arXiv's only</t>
  </si>
  <si>
    <t>Treat as unavailable until authors confirm</t>
  </si>
  <si>
    <t>VisDocAgentBench size, authors, project page</t>
  </si>
  <si>
    <t>Project page URL taken from page</t>
  </si>
  <si>
    <t>Double-Bench size, CC BY 4.0, project site</t>
  </si>
  <si>
    <t>Verified on arXiv abs page</t>
  </si>
  <si>
    <t>Download link on project site not tested</t>
  </si>
  <si>
    <t>BrowseComp-V3 authors, 300 questions</t>
  </si>
  <si>
    <t>HF release/encryption from earlier check, re-verify</t>
  </si>
  <si>
    <t>MultimodalQA ~30k questions</t>
  </si>
  <si>
    <t>Verified; authors from background knowledge (ICLR 2021)</t>
  </si>
  <si>
    <t>GitHub repo URL not re-verified</t>
  </si>
  <si>
    <t>MMDocRAG, MMLongBench-Doc, LongDocURL, MRAMG-Bench, MMSearch-Plus links</t>
  </si>
  <si>
    <t>Links appeared in web search results; pages not opened</t>
  </si>
  <si>
    <t>Check access and size</t>
  </si>
  <si>
    <t>Dataset disk sizes (GB)</t>
  </si>
  <si>
    <t>NOT verified: hosting API could not be queried</t>
  </si>
  <si>
    <t>Fill column S of Datasets</t>
  </si>
  <si>
    <t>Author lists for most arXiv papers</t>
  </si>
  <si>
    <t>NOT read</t>
  </si>
  <si>
    <t>Complete from paper pages</t>
  </si>
  <si>
    <t>Agent psychometrics reference</t>
  </si>
  <si>
    <t>NOT re-verified; entry incomplete</t>
  </si>
  <si>
    <t>Find paper before citing</t>
  </si>
  <si>
    <t>arXiv 2609.38743 and 2609.38222</t>
  </si>
  <si>
    <t>NOT read (rate-limited)</t>
  </si>
  <si>
    <t>Read before submission</t>
  </si>
  <si>
    <t>MuSiQue / 2WikiMultiHopQA links</t>
  </si>
  <si>
    <t>From background knowledge, not re-verified</t>
  </si>
  <si>
    <t>Verify</t>
  </si>
  <si>
    <t>Number of published agentic-RAG papers</t>
  </si>
  <si>
    <t>No verified count (OpenAlex rate-limited)</t>
  </si>
  <si>
    <t>Run count_agentic_rag.py later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</si>
</sst>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00"/>
    <numFmt numFmtId="177" formatCode="&quot;$&quot;#,##0"/>
    <numFmt numFmtId="178" formatCode="0.0%"/>
  </numFmts>
  <fonts count="31">
    <font>
      <sz val="11"/>
      <color theme="1"/>
      <name val="Calibri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sz val="9"/>
      <color rgb="FF0000FF"/>
      <name val="Arial"/>
      <charset val="1"/>
    </font>
    <font>
      <b/>
      <sz val="9"/>
      <name val="Arial"/>
      <charset val="1"/>
    </font>
    <font>
      <u/>
      <sz val="9"/>
      <color rgb="FF0000FF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62626"/>
        <bgColor rgb="FF40404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6" fillId="4" borderId="0" xfId="0" applyFont="1" applyFill="1"/>
    <xf numFmtId="0" fontId="4" fillId="4" borderId="1" xfId="0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76" fontId="4" fillId="4" borderId="1" xfId="0" applyNumberFormat="1" applyFont="1" applyFill="1" applyBorder="1" applyAlignment="1">
      <alignment vertical="top" wrapText="1"/>
    </xf>
    <xf numFmtId="177" fontId="4" fillId="0" borderId="1" xfId="0" applyNumberFormat="1" applyFont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 wrapText="1"/>
    </xf>
    <xf numFmtId="177" fontId="4" fillId="3" borderId="1" xfId="0" applyNumberFormat="1" applyFont="1" applyFill="1" applyBorder="1" applyAlignment="1">
      <alignment vertical="top" wrapText="1"/>
    </xf>
    <xf numFmtId="0" fontId="7" fillId="0" borderId="0" xfId="0" applyFont="1"/>
    <xf numFmtId="3" fontId="7" fillId="0" borderId="0" xfId="0" applyNumberFormat="1" applyFont="1"/>
    <xf numFmtId="177" fontId="0" fillId="0" borderId="0" xfId="0" applyNumberFormat="1"/>
    <xf numFmtId="2" fontId="4" fillId="4" borderId="1" xfId="0" applyNumberFormat="1" applyFont="1" applyFill="1" applyBorder="1" applyAlignment="1">
      <alignment vertical="top" wrapText="1"/>
    </xf>
    <xf numFmtId="178" fontId="4" fillId="0" borderId="0" xfId="0" applyNumberFormat="1" applyFont="1"/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0" borderId="0" xfId="0" applyFont="1"/>
    <xf numFmtId="3" fontId="5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name val="Arial"/>
        <scheme val="none"/>
        <charset val="1"/>
        <family val="0"/>
        <b val="1"/>
        <i val="1"/>
        <sz val="9"/>
      </font>
    </dxf>
    <dxf>
      <font>
        <name val="Arial"/>
        <scheme val="none"/>
        <charset val="1"/>
        <family val="0"/>
        <b val="1"/>
        <sz val="9"/>
      </font>
    </dxf>
    <dxf>
      <font>
        <name val="Arial"/>
        <scheme val="none"/>
        <charset val="1"/>
        <family val="0"/>
        <b val="1"/>
        <sz val="9"/>
      </font>
    </dxf>
    <dxf>
      <font>
        <name val="Arial"/>
        <scheme val="none"/>
        <charset val="1"/>
        <family val="0"/>
        <b val="1"/>
        <sz val="9"/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F2F2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9F9F9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878787"/>
      <rgbColor rgb="00003366"/>
      <rgbColor rgb="00339966"/>
      <rgbColor rgb="00003300"/>
      <rgbColor rgb="00404040"/>
      <rgbColor rgb="00993300"/>
      <rgbColor rgb="00993366"/>
      <rgbColor rgb="00333399"/>
      <rgbColor rgb="00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Stated question counts (blank = unverified)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Datasets!$F$4</c:f>
              <c:strCache>
                <c:ptCount val="1"/>
                <c:pt idx="0">
                  <c:v>Questions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Datasets!$B$5:$B$14</c:f>
              <c:strCache>
                <c:ptCount val="10"/>
                <c:pt idx="0">
                  <c:v>CrossModalQA</c:v>
                </c:pt>
                <c:pt idx="1">
                  <c:v>VisDocAgentBench</c:v>
                </c:pt>
                <c:pt idx="2">
                  <c:v>Double-Bench</c:v>
                </c:pt>
                <c:pt idx="3">
                  <c:v>BrowseComp-V3</c:v>
                </c:pt>
                <c:pt idx="4">
                  <c:v>MultimodalQA</c:v>
                </c:pt>
                <c:pt idx="5">
                  <c:v>MMDocRAG</c:v>
                </c:pt>
                <c:pt idx="6">
                  <c:v>MMLongBench-Doc</c:v>
                </c:pt>
                <c:pt idx="7">
                  <c:v>LongDocURL</c:v>
                </c:pt>
                <c:pt idx="8">
                  <c:v>MRAMG-Bench</c:v>
                </c:pt>
                <c:pt idx="9">
                  <c:v>MultiHaystack</c:v>
                </c:pt>
              </c:strCache>
            </c:strRef>
          </c:cat>
          <c:val>
            <c:numRef>
              <c:f>Datasets!$F$5:$F$14</c:f>
              <c:numCache>
                <c:formatCode>#,##0</c:formatCode>
                <c:ptCount val="10"/>
                <c:pt idx="0">
                  <c:v>1863</c:v>
                </c:pt>
                <c:pt idx="1">
                  <c:v>120</c:v>
                </c:pt>
                <c:pt idx="2">
                  <c:v>5168</c:v>
                </c:pt>
                <c:pt idx="3">
                  <c:v>300</c:v>
                </c:pt>
                <c:pt idx="4">
                  <c:v>29918</c:v>
                </c:pt>
                <c:pt idx="5">
                  <c:v>4055</c:v>
                </c:pt>
                <c:pt idx="6">
                  <c:v>1062</c:v>
                </c:pt>
                <c:pt idx="7">
                  <c:v>2325</c:v>
                </c:pt>
                <c:pt idx="8">
                  <c:v>4800</c:v>
                </c:pt>
                <c:pt idx="9">
                  <c:v>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31006142"/>
        <c:axId val="3595964"/>
      </c:barChart>
      <c:catAx>
        <c:axId val="310061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595964"/>
        <c:crosses val="autoZero"/>
        <c:auto val="1"/>
        <c:lblAlgn val="ctr"/>
        <c:lblOffset val="100"/>
        <c:noMultiLvlLbl val="0"/>
      </c:catAx>
      <c:valAx>
        <c:axId val="3595964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1006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cbc5b54-373b-4560-8284-bd43eaa16e0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160920</xdr:rowOff>
    </xdr:from>
    <xdr:to>
      <xdr:col>13</xdr:col>
      <xdr:colOff>364320</xdr:colOff>
      <xdr:row>19</xdr:row>
      <xdr:rowOff>162000</xdr:rowOff>
    </xdr:to>
    <xdr:graphicFrame>
      <xdr:nvGraphicFramePr>
        <xdr:cNvPr id="2" name="Chart 1"/>
        <xdr:cNvGraphicFramePr/>
      </xdr:nvGraphicFramePr>
      <xdr:xfrm>
        <a:off x="5076825" y="573405"/>
        <a:ext cx="6428105" cy="313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arxiv.org/abs/2601.19827" TargetMode="External"/><Relationship Id="rId8" Type="http://schemas.openxmlformats.org/officeDocument/2006/relationships/hyperlink" Target="https://arxiv.org/abs/2509.25530" TargetMode="External"/><Relationship Id="rId7" Type="http://schemas.openxmlformats.org/officeDocument/2006/relationships/hyperlink" Target="https://arxiv.org/abs/2510.10009" TargetMode="External"/><Relationship Id="rId6" Type="http://schemas.openxmlformats.org/officeDocument/2006/relationships/hyperlink" Target="https://arxiv.org/abs/2508.19113" TargetMode="External"/><Relationship Id="rId5" Type="http://schemas.openxmlformats.org/officeDocument/2006/relationships/hyperlink" Target="https://arxiv.org/abs/2508.07999" TargetMode="External"/><Relationship Id="rId4" Type="http://schemas.openxmlformats.org/officeDocument/2006/relationships/hyperlink" Target="https://arxiv.org/abs/2509.21199" TargetMode="External"/><Relationship Id="rId38" Type="http://schemas.openxmlformats.org/officeDocument/2006/relationships/hyperlink" Target="https://arxiv.org/abs/2609.38222" TargetMode="External"/><Relationship Id="rId37" Type="http://schemas.openxmlformats.org/officeDocument/2006/relationships/hyperlink" Target="https://arxiv.org/abs/2609.38743" TargetMode="External"/><Relationship Id="rId36" Type="http://schemas.openxmlformats.org/officeDocument/2006/relationships/hyperlink" Target="https://github.com/mmsearch-plus/MMSearch-Plus" TargetMode="External"/><Relationship Id="rId35" Type="http://schemas.openxmlformats.org/officeDocument/2006/relationships/hyperlink" Target="https://arxiv.org/abs/2502.04176" TargetMode="External"/><Relationship Id="rId34" Type="http://schemas.openxmlformats.org/officeDocument/2006/relationships/hyperlink" Target="https://arxiv.org/abs/2412.18424" TargetMode="External"/><Relationship Id="rId33" Type="http://schemas.openxmlformats.org/officeDocument/2006/relationships/hyperlink" Target="https://arxiv.org/abs/2407.01523" TargetMode="External"/><Relationship Id="rId32" Type="http://schemas.openxmlformats.org/officeDocument/2006/relationships/hyperlink" Target="https://arxiv.org/abs/2505.16470" TargetMode="External"/><Relationship Id="rId31" Type="http://schemas.openxmlformats.org/officeDocument/2006/relationships/hyperlink" Target="https://arxiv.org/abs/2605.27123" TargetMode="External"/><Relationship Id="rId30" Type="http://schemas.openxmlformats.org/officeDocument/2006/relationships/hyperlink" Target="https://arxiv.org/abs/2506.03100" TargetMode="External"/><Relationship Id="rId3" Type="http://schemas.openxmlformats.org/officeDocument/2006/relationships/hyperlink" Target="https://arxiv.org/abs/2606.23475" TargetMode="External"/><Relationship Id="rId29" Type="http://schemas.openxmlformats.org/officeDocument/2006/relationships/hyperlink" Target="https://arxiv.org/abs/2607.16604" TargetMode="External"/><Relationship Id="rId28" Type="http://schemas.openxmlformats.org/officeDocument/2006/relationships/hyperlink" Target="https://arxiv.org/abs/2608.01792" TargetMode="External"/><Relationship Id="rId27" Type="http://schemas.openxmlformats.org/officeDocument/2006/relationships/hyperlink" Target="https://arxiv.org/abs/2605.10253" TargetMode="External"/><Relationship Id="rId26" Type="http://schemas.openxmlformats.org/officeDocument/2006/relationships/hyperlink" Target="https://arxiv.org/abs/2605.10832" TargetMode="External"/><Relationship Id="rId25" Type="http://schemas.openxmlformats.org/officeDocument/2006/relationships/hyperlink" Target="https://arxiv.org/abs/2606.15906" TargetMode="External"/><Relationship Id="rId24" Type="http://schemas.openxmlformats.org/officeDocument/2006/relationships/hyperlink" Target="https://arxiv.org/abs/2603.16289" TargetMode="External"/><Relationship Id="rId23" Type="http://schemas.openxmlformats.org/officeDocument/2006/relationships/hyperlink" Target="https://arxiv.org/abs/2607.10491" TargetMode="External"/><Relationship Id="rId22" Type="http://schemas.openxmlformats.org/officeDocument/2006/relationships/hyperlink" Target="https://arxiv.org/abs/2609.06445" TargetMode="External"/><Relationship Id="rId21" Type="http://schemas.openxmlformats.org/officeDocument/2006/relationships/hyperlink" Target="https://arxiv.org/abs/2606.08275" TargetMode="External"/><Relationship Id="rId20" Type="http://schemas.openxmlformats.org/officeDocument/2006/relationships/hyperlink" Target="https://arxiv.org/abs/2608.20627" TargetMode="External"/><Relationship Id="rId2" Type="http://schemas.openxmlformats.org/officeDocument/2006/relationships/hyperlink" Target="https://arxiv.org/abs/2605.23556" TargetMode="External"/><Relationship Id="rId19" Type="http://schemas.openxmlformats.org/officeDocument/2006/relationships/hyperlink" Target="https://ojs.aaai.org/index.php/AAAI/article/view/39385" TargetMode="External"/><Relationship Id="rId18" Type="http://schemas.openxmlformats.org/officeDocument/2006/relationships/hyperlink" Target="https://arxiv.org/abs/2511.19199" TargetMode="External"/><Relationship Id="rId17" Type="http://schemas.openxmlformats.org/officeDocument/2006/relationships/hyperlink" Target="https://aclanthology.org/2026.magmar-main.3/" TargetMode="External"/><Relationship Id="rId16" Type="http://schemas.openxmlformats.org/officeDocument/2006/relationships/hyperlink" Target="https://arxiv.org/abs/2104.06039" TargetMode="External"/><Relationship Id="rId15" Type="http://schemas.openxmlformats.org/officeDocument/2006/relationships/hyperlink" Target="https://arxiv.org/abs/2609.05518" TargetMode="External"/><Relationship Id="rId14" Type="http://schemas.openxmlformats.org/officeDocument/2006/relationships/hyperlink" Target="https://arxiv.org/abs/2603.05697" TargetMode="External"/><Relationship Id="rId13" Type="http://schemas.openxmlformats.org/officeDocument/2006/relationships/hyperlink" Target="https://arxiv.org/abs/2602.12876" TargetMode="External"/><Relationship Id="rId12" Type="http://schemas.openxmlformats.org/officeDocument/2006/relationships/hyperlink" Target="https://arxiv.org/abs/2508.03644" TargetMode="External"/><Relationship Id="rId11" Type="http://schemas.openxmlformats.org/officeDocument/2006/relationships/hyperlink" Target="https://arxiv.org/abs/2608.17889" TargetMode="External"/><Relationship Id="rId10" Type="http://schemas.openxmlformats.org/officeDocument/2006/relationships/hyperlink" Target="https://arxiv.org/abs/2609.22056" TargetMode="External"/><Relationship Id="rId1" Type="http://schemas.openxmlformats.org/officeDocument/2006/relationships/hyperlink" Target="https://arxiv.org/abs/2508.21038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arxiv.org/abs/2505.16470" TargetMode="External"/><Relationship Id="rId8" Type="http://schemas.openxmlformats.org/officeDocument/2006/relationships/hyperlink" Target="https://github.com/allenai/multimodalqa" TargetMode="External"/><Relationship Id="rId7" Type="http://schemas.openxmlformats.org/officeDocument/2006/relationships/hyperlink" Target="https://arxiv.org/abs/2104.06039" TargetMode="External"/><Relationship Id="rId6" Type="http://schemas.openxmlformats.org/officeDocument/2006/relationships/hyperlink" Target="https://arxiv.org/abs/2602.12876" TargetMode="External"/><Relationship Id="rId5" Type="http://schemas.openxmlformats.org/officeDocument/2006/relationships/hyperlink" Target="https://double-bench.github.io/" TargetMode="External"/><Relationship Id="rId4" Type="http://schemas.openxmlformats.org/officeDocument/2006/relationships/hyperlink" Target="https://arxiv.org/abs/2508.03644" TargetMode="External"/><Relationship Id="rId3" Type="http://schemas.openxmlformats.org/officeDocument/2006/relationships/hyperlink" Target="https://hulx2002.github.io/VisDocAgentBench" TargetMode="External"/><Relationship Id="rId23" Type="http://schemas.openxmlformats.org/officeDocument/2006/relationships/hyperlink" Target="https://arxiv.org/abs/2508.21038" TargetMode="External"/><Relationship Id="rId22" Type="http://schemas.openxmlformats.org/officeDocument/2006/relationships/hyperlink" Target="https://arxiv.org/abs/2011.01060" TargetMode="External"/><Relationship Id="rId21" Type="http://schemas.openxmlformats.org/officeDocument/2006/relationships/hyperlink" Target="https://arxiv.org/abs/2108.00573" TargetMode="External"/><Relationship Id="rId20" Type="http://schemas.openxmlformats.org/officeDocument/2006/relationships/hyperlink" Target="https://arxiv.org/abs/2603.16289" TargetMode="External"/><Relationship Id="rId2" Type="http://schemas.openxmlformats.org/officeDocument/2006/relationships/hyperlink" Target="https://arxiv.org/abs/2608.17889" TargetMode="External"/><Relationship Id="rId19" Type="http://schemas.openxmlformats.org/officeDocument/2006/relationships/hyperlink" Target="https://github.com/mmsearch-plus/MMSearch-Plus%20;%20https://huggingface.co/datasets/Cie1/MMSearch-Plus" TargetMode="External"/><Relationship Id="rId18" Type="http://schemas.openxmlformats.org/officeDocument/2006/relationships/hyperlink" Target="https://mmsearch-plus.github.io/" TargetMode="External"/><Relationship Id="rId17" Type="http://schemas.openxmlformats.org/officeDocument/2006/relationships/hyperlink" Target="https://arxiv.org/abs/2603.05697" TargetMode="External"/><Relationship Id="rId16" Type="http://schemas.openxmlformats.org/officeDocument/2006/relationships/hyperlink" Target="https://github.com/MRAMG-Bench/MRAMG" TargetMode="External"/><Relationship Id="rId15" Type="http://schemas.openxmlformats.org/officeDocument/2006/relationships/hyperlink" Target="https://arxiv.org/abs/2502.04176" TargetMode="External"/><Relationship Id="rId14" Type="http://schemas.openxmlformats.org/officeDocument/2006/relationships/hyperlink" Target="https://github.com/dengc2023/LongDocURL" TargetMode="External"/><Relationship Id="rId13" Type="http://schemas.openxmlformats.org/officeDocument/2006/relationships/hyperlink" Target="https://arxiv.org/abs/2412.18424" TargetMode="External"/><Relationship Id="rId12" Type="http://schemas.openxmlformats.org/officeDocument/2006/relationships/hyperlink" Target="https://github.com/mayubo2333/MMLongBench-Doc" TargetMode="External"/><Relationship Id="rId11" Type="http://schemas.openxmlformats.org/officeDocument/2006/relationships/hyperlink" Target="https://arxiv.org/abs/2407.01523" TargetMode="External"/><Relationship Id="rId10" Type="http://schemas.openxmlformats.org/officeDocument/2006/relationships/hyperlink" Target="https://mmdocrag.github.io/MMDocRAG/" TargetMode="External"/><Relationship Id="rId1" Type="http://schemas.openxmlformats.org/officeDocument/2006/relationships/hyperlink" Target="https://arxiv.org/abs/2609.05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:D23"/>
  <sheetViews>
    <sheetView showGridLines="0" topLeftCell="A7" workbookViewId="0">
      <selection activeCell="A1" sqref="A1"/>
    </sheetView>
  </sheetViews>
  <sheetFormatPr defaultColWidth="8.68181818181818" defaultRowHeight="14.5" outlineLevelCol="3"/>
  <cols>
    <col min="1" max="1" width="46" customWidth="1"/>
    <col min="2" max="2" width="18" customWidth="1"/>
  </cols>
  <sheetData>
    <row r="1" ht="18" spans="1:4">
      <c r="A1" s="1" t="s">
        <v>0</v>
      </c>
    </row>
    <row r="2" spans="1:4">
      <c r="A2" s="2" t="s">
        <v>1</v>
      </c>
    </row>
    <row r="3" spans="1:4">
      <c r="D3" s="6" t="s">
        <v>2</v>
      </c>
    </row>
    <row r="4" spans="1:4">
      <c r="A4" s="22" t="s">
        <v>3</v>
      </c>
      <c r="B4" s="23">
        <f>COUNTA(Papers!A5:A43)</f>
        <v>39</v>
      </c>
    </row>
    <row r="5" spans="1:4">
      <c r="A5" s="22" t="s">
        <v>4</v>
      </c>
      <c r="B5" s="23">
        <f>COUNTIF(Papers!N5:N43,"Fully read")</f>
        <v>0</v>
      </c>
    </row>
    <row r="6" spans="1:4">
      <c r="A6" s="22" t="s">
        <v>5</v>
      </c>
      <c r="B6" s="23">
        <f>COUNTIF(Papers!K5:K43,"Not read")</f>
        <v>2</v>
      </c>
    </row>
    <row r="7" spans="1:4">
      <c r="A7" s="22" t="s">
        <v>6</v>
      </c>
      <c r="B7" s="23">
        <f>COUNTA(Datasets!A5:A20)</f>
        <v>16</v>
      </c>
    </row>
    <row r="8" spans="1:4">
      <c r="A8" s="22" t="s">
        <v>7</v>
      </c>
      <c r="B8" s="23">
        <f>COUNTIF(Datasets!O5:O20,"*nverified*")+COUNTIF(Datasets!O5:O20,"*ated*")</f>
        <v>7</v>
      </c>
    </row>
    <row r="9" spans="1:4">
      <c r="A9" s="22" t="s">
        <v>8</v>
      </c>
      <c r="B9" s="23">
        <f>COUNTIF(Datasets!T5:T20,"Downloaded")+COUNTIF(Datasets!T5:T20,"Indexed")</f>
        <v>0</v>
      </c>
    </row>
    <row r="10" spans="1:4">
      <c r="A10" s="22" t="s">
        <v>9</v>
      </c>
      <c r="B10" s="23">
        <f>Run_Plan!H18</f>
        <v>280435</v>
      </c>
    </row>
    <row r="11" spans="1:4">
      <c r="A11" s="22" t="s">
        <v>10</v>
      </c>
      <c r="B11" s="23" t="str">
        <f>Our_Dataset_Plan!H5</f>
        <v>Not started</v>
      </c>
    </row>
    <row r="14" spans="1:4">
      <c r="A14" s="6" t="s">
        <v>11</v>
      </c>
    </row>
    <row r="15" spans="1:4">
      <c r="A15" s="15" t="s">
        <v>12</v>
      </c>
      <c r="B15" s="7" t="s">
        <v>13</v>
      </c>
    </row>
    <row r="16" spans="1:4">
      <c r="A16" s="15" t="s">
        <v>14</v>
      </c>
      <c r="B16" s="7" t="s">
        <v>15</v>
      </c>
    </row>
    <row r="17" spans="1:2">
      <c r="A17" s="15" t="s">
        <v>16</v>
      </c>
      <c r="B17" s="7" t="s">
        <v>17</v>
      </c>
    </row>
    <row r="18" spans="1:2">
      <c r="A18" s="15" t="s">
        <v>18</v>
      </c>
      <c r="B18" s="7" t="s">
        <v>19</v>
      </c>
    </row>
    <row r="19" spans="1:2">
      <c r="A19" s="15" t="s">
        <v>20</v>
      </c>
      <c r="B19" s="7" t="s">
        <v>21</v>
      </c>
    </row>
    <row r="20" spans="1:2">
      <c r="A20" s="15" t="s">
        <v>22</v>
      </c>
      <c r="B20" s="7" t="s">
        <v>23</v>
      </c>
    </row>
    <row r="21" spans="1:2">
      <c r="A21" s="15" t="s">
        <v>24</v>
      </c>
      <c r="B21" s="7" t="s">
        <v>25</v>
      </c>
    </row>
    <row r="23" spans="1:2">
      <c r="A23" s="2" t="s">
        <v>26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"/>
  <sheetViews>
    <sheetView workbookViewId="0">
      <selection activeCell="A1" sqref="A1"/>
    </sheetView>
  </sheetViews>
  <sheetFormatPr defaultColWidth="8.68181818181818" defaultRowHeight="14.5"/>
  <sheetData/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:N43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6" customWidth="1"/>
    <col min="2" max="2" width="18" customWidth="1"/>
    <col min="3" max="3" width="40" customWidth="1"/>
    <col min="4" max="4" width="28" customWidth="1"/>
    <col min="5" max="5" width="7" customWidth="1"/>
    <col min="6" max="6" width="22" customWidth="1"/>
    <col min="7" max="7" width="34" customWidth="1"/>
    <col min="8" max="8" width="22" customWidth="1"/>
    <col min="9" max="9" width="44" customWidth="1"/>
    <col min="10" max="10" width="34" customWidth="1"/>
    <col min="11" max="11" width="16" customWidth="1"/>
    <col min="12" max="12" width="10" customWidth="1"/>
    <col min="13" max="13" width="24" customWidth="1"/>
    <col min="14" max="14" width="12" customWidth="1"/>
  </cols>
  <sheetData>
    <row r="1" ht="18" spans="1:14">
      <c r="A1" s="1" t="s">
        <v>27</v>
      </c>
    </row>
    <row r="2" spans="1:14">
      <c r="A2" s="2" t="s">
        <v>28</v>
      </c>
    </row>
    <row r="4" ht="31.5" customHeight="1" spans="1:1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</row>
    <row r="5" ht="34.5" spans="1:14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20" t="s">
        <v>49</v>
      </c>
      <c r="H5" s="4" t="s">
        <v>50</v>
      </c>
      <c r="I5" s="4" t="s">
        <v>51</v>
      </c>
      <c r="J5" s="4" t="s">
        <v>52</v>
      </c>
      <c r="K5" s="4" t="s">
        <v>53</v>
      </c>
      <c r="L5" s="9">
        <v>5</v>
      </c>
      <c r="M5" s="9"/>
      <c r="N5" s="9" t="s">
        <v>54</v>
      </c>
    </row>
    <row r="6" ht="23" spans="1:14">
      <c r="A6" s="5" t="s">
        <v>55</v>
      </c>
      <c r="B6" s="5" t="s">
        <v>56</v>
      </c>
      <c r="C6" s="5" t="s">
        <v>57</v>
      </c>
      <c r="D6" s="5" t="s">
        <v>58</v>
      </c>
      <c r="E6" s="5" t="s">
        <v>59</v>
      </c>
      <c r="F6" s="5" t="s">
        <v>60</v>
      </c>
      <c r="G6" s="21" t="s">
        <v>61</v>
      </c>
      <c r="H6" s="5" t="s">
        <v>50</v>
      </c>
      <c r="I6" s="5" t="s">
        <v>62</v>
      </c>
      <c r="J6" s="5" t="s">
        <v>63</v>
      </c>
      <c r="K6" s="5" t="s">
        <v>53</v>
      </c>
      <c r="L6" s="9">
        <v>4</v>
      </c>
      <c r="M6" s="9"/>
      <c r="N6" s="9" t="s">
        <v>54</v>
      </c>
    </row>
    <row r="7" ht="23" spans="1:14">
      <c r="A7" s="4" t="s">
        <v>64</v>
      </c>
      <c r="B7" s="4" t="s">
        <v>65</v>
      </c>
      <c r="C7" s="4" t="s">
        <v>66</v>
      </c>
      <c r="D7" s="4" t="s">
        <v>58</v>
      </c>
      <c r="E7" s="4" t="s">
        <v>59</v>
      </c>
      <c r="F7" s="4" t="s">
        <v>67</v>
      </c>
      <c r="G7" s="20" t="s">
        <v>68</v>
      </c>
      <c r="H7" s="4" t="s">
        <v>50</v>
      </c>
      <c r="I7" s="4" t="s">
        <v>69</v>
      </c>
      <c r="J7" s="4" t="s">
        <v>70</v>
      </c>
      <c r="K7" s="4" t="s">
        <v>53</v>
      </c>
      <c r="L7" s="9">
        <v>3</v>
      </c>
      <c r="M7" s="9"/>
      <c r="N7" s="9" t="s">
        <v>54</v>
      </c>
    </row>
    <row r="8" ht="23" spans="1:14">
      <c r="A8" s="5" t="s">
        <v>71</v>
      </c>
      <c r="B8" s="5" t="s">
        <v>72</v>
      </c>
      <c r="C8" s="5" t="s">
        <v>73</v>
      </c>
      <c r="D8" s="5" t="s">
        <v>58</v>
      </c>
      <c r="E8" s="5" t="s">
        <v>47</v>
      </c>
      <c r="F8" s="5" t="s">
        <v>74</v>
      </c>
      <c r="G8" s="21" t="s">
        <v>75</v>
      </c>
      <c r="H8" s="5" t="s">
        <v>76</v>
      </c>
      <c r="I8" s="5" t="s">
        <v>77</v>
      </c>
      <c r="J8" s="5" t="s">
        <v>78</v>
      </c>
      <c r="K8" s="5" t="s">
        <v>53</v>
      </c>
      <c r="L8" s="9">
        <v>3</v>
      </c>
      <c r="M8" s="9"/>
      <c r="N8" s="9" t="s">
        <v>54</v>
      </c>
    </row>
    <row r="9" ht="23" spans="1:14">
      <c r="A9" s="4" t="s">
        <v>79</v>
      </c>
      <c r="B9" s="4" t="s">
        <v>80</v>
      </c>
      <c r="C9" s="4" t="s">
        <v>81</v>
      </c>
      <c r="D9" s="4" t="s">
        <v>58</v>
      </c>
      <c r="E9" s="4" t="s">
        <v>47</v>
      </c>
      <c r="F9" s="4" t="s">
        <v>82</v>
      </c>
      <c r="G9" s="20" t="s">
        <v>83</v>
      </c>
      <c r="H9" s="4" t="s">
        <v>84</v>
      </c>
      <c r="I9" s="4" t="s">
        <v>85</v>
      </c>
      <c r="J9" s="4" t="s">
        <v>86</v>
      </c>
      <c r="K9" s="4" t="s">
        <v>53</v>
      </c>
      <c r="L9" s="9">
        <v>3</v>
      </c>
      <c r="M9" s="9"/>
      <c r="N9" s="9" t="s">
        <v>54</v>
      </c>
    </row>
    <row r="10" ht="23" spans="1:14">
      <c r="A10" s="5" t="s">
        <v>87</v>
      </c>
      <c r="B10" s="5" t="s">
        <v>88</v>
      </c>
      <c r="C10" s="5" t="s">
        <v>89</v>
      </c>
      <c r="D10" s="5" t="s">
        <v>58</v>
      </c>
      <c r="E10" s="5" t="s">
        <v>47</v>
      </c>
      <c r="F10" s="5" t="s">
        <v>90</v>
      </c>
      <c r="G10" s="21" t="s">
        <v>91</v>
      </c>
      <c r="H10" s="5" t="s">
        <v>84</v>
      </c>
      <c r="I10" s="5" t="s">
        <v>92</v>
      </c>
      <c r="J10" s="5" t="s">
        <v>93</v>
      </c>
      <c r="K10" s="5" t="s">
        <v>53</v>
      </c>
      <c r="L10" s="9">
        <v>3</v>
      </c>
      <c r="M10" s="9"/>
      <c r="N10" s="9" t="s">
        <v>54</v>
      </c>
    </row>
    <row r="11" ht="23" spans="1:14">
      <c r="A11" s="4" t="s">
        <v>94</v>
      </c>
      <c r="B11" s="4" t="s">
        <v>95</v>
      </c>
      <c r="C11" s="4" t="s">
        <v>96</v>
      </c>
      <c r="D11" s="4" t="s">
        <v>58</v>
      </c>
      <c r="E11" s="4" t="s">
        <v>47</v>
      </c>
      <c r="F11" s="4" t="s">
        <v>97</v>
      </c>
      <c r="G11" s="20" t="s">
        <v>98</v>
      </c>
      <c r="H11" s="4" t="s">
        <v>84</v>
      </c>
      <c r="I11" s="4" t="s">
        <v>99</v>
      </c>
      <c r="J11" s="4" t="s">
        <v>100</v>
      </c>
      <c r="K11" s="4" t="s">
        <v>53</v>
      </c>
      <c r="L11" s="9">
        <v>3</v>
      </c>
      <c r="M11" s="9"/>
      <c r="N11" s="9" t="s">
        <v>54</v>
      </c>
    </row>
    <row r="12" spans="1:14">
      <c r="A12" s="5" t="s">
        <v>101</v>
      </c>
      <c r="B12" s="5" t="s">
        <v>102</v>
      </c>
      <c r="C12" s="5" t="s">
        <v>103</v>
      </c>
      <c r="D12" s="5" t="s">
        <v>58</v>
      </c>
      <c r="E12" s="5" t="s">
        <v>47</v>
      </c>
      <c r="F12" s="5" t="s">
        <v>104</v>
      </c>
      <c r="G12" s="21" t="s">
        <v>105</v>
      </c>
      <c r="H12" s="5" t="s">
        <v>106</v>
      </c>
      <c r="I12" s="5" t="s">
        <v>107</v>
      </c>
      <c r="J12" s="5" t="s">
        <v>108</v>
      </c>
      <c r="K12" s="5" t="s">
        <v>53</v>
      </c>
      <c r="L12" s="9">
        <v>4</v>
      </c>
      <c r="M12" s="9"/>
      <c r="N12" s="9" t="s">
        <v>54</v>
      </c>
    </row>
    <row r="13" ht="23" spans="1:14">
      <c r="A13" s="4" t="s">
        <v>109</v>
      </c>
      <c r="B13" s="4" t="s">
        <v>110</v>
      </c>
      <c r="C13" s="4" t="s">
        <v>111</v>
      </c>
      <c r="D13" s="4" t="s">
        <v>58</v>
      </c>
      <c r="E13" s="4" t="s">
        <v>59</v>
      </c>
      <c r="F13" s="4" t="s">
        <v>112</v>
      </c>
      <c r="G13" s="20" t="s">
        <v>113</v>
      </c>
      <c r="H13" s="4" t="s">
        <v>106</v>
      </c>
      <c r="I13" s="4" t="s">
        <v>114</v>
      </c>
      <c r="J13" s="4" t="s">
        <v>115</v>
      </c>
      <c r="K13" s="4" t="s">
        <v>53</v>
      </c>
      <c r="L13" s="9">
        <v>4</v>
      </c>
      <c r="M13" s="9"/>
      <c r="N13" s="9" t="s">
        <v>54</v>
      </c>
    </row>
    <row r="14" spans="1:14">
      <c r="A14" s="5" t="s">
        <v>116</v>
      </c>
      <c r="B14" s="5" t="s">
        <v>117</v>
      </c>
      <c r="C14" s="5" t="s">
        <v>118</v>
      </c>
      <c r="D14" s="5" t="s">
        <v>58</v>
      </c>
      <c r="E14" s="5" t="s">
        <v>59</v>
      </c>
      <c r="F14" s="5" t="s">
        <v>119</v>
      </c>
      <c r="G14" s="21" t="s">
        <v>120</v>
      </c>
      <c r="H14" s="5" t="s">
        <v>106</v>
      </c>
      <c r="I14" s="5" t="s">
        <v>121</v>
      </c>
      <c r="J14" s="5" t="s">
        <v>122</v>
      </c>
      <c r="K14" s="5" t="s">
        <v>53</v>
      </c>
      <c r="L14" s="9">
        <v>5</v>
      </c>
      <c r="M14" s="9"/>
      <c r="N14" s="9" t="s">
        <v>54</v>
      </c>
    </row>
    <row r="15" ht="23" spans="1:14">
      <c r="A15" s="4" t="s">
        <v>123</v>
      </c>
      <c r="B15" s="4" t="s">
        <v>124</v>
      </c>
      <c r="C15" s="4" t="s">
        <v>125</v>
      </c>
      <c r="D15" s="4" t="s">
        <v>126</v>
      </c>
      <c r="E15" s="4" t="s">
        <v>59</v>
      </c>
      <c r="F15" s="4" t="s">
        <v>127</v>
      </c>
      <c r="G15" s="20" t="s">
        <v>128</v>
      </c>
      <c r="H15" s="4" t="s">
        <v>129</v>
      </c>
      <c r="I15" s="4" t="s">
        <v>130</v>
      </c>
      <c r="J15" s="4" t="s">
        <v>131</v>
      </c>
      <c r="K15" s="4" t="s">
        <v>132</v>
      </c>
      <c r="L15" s="9">
        <v>5</v>
      </c>
      <c r="M15" s="9"/>
      <c r="N15" s="9" t="s">
        <v>54</v>
      </c>
    </row>
    <row r="16" ht="23" spans="1:14">
      <c r="A16" s="5" t="s">
        <v>133</v>
      </c>
      <c r="B16" s="5" t="s">
        <v>134</v>
      </c>
      <c r="C16" s="5" t="s">
        <v>135</v>
      </c>
      <c r="D16" s="5" t="s">
        <v>136</v>
      </c>
      <c r="E16" s="5" t="s">
        <v>47</v>
      </c>
      <c r="F16" s="5" t="s">
        <v>137</v>
      </c>
      <c r="G16" s="21" t="s">
        <v>138</v>
      </c>
      <c r="H16" s="5" t="s">
        <v>129</v>
      </c>
      <c r="I16" s="5" t="s">
        <v>139</v>
      </c>
      <c r="J16" s="5" t="s">
        <v>140</v>
      </c>
      <c r="K16" s="5" t="s">
        <v>132</v>
      </c>
      <c r="L16" s="9">
        <v>5</v>
      </c>
      <c r="M16" s="9"/>
      <c r="N16" s="9" t="s">
        <v>54</v>
      </c>
    </row>
    <row r="17" ht="23" spans="1:14">
      <c r="A17" s="4" t="s">
        <v>141</v>
      </c>
      <c r="B17" s="4" t="s">
        <v>142</v>
      </c>
      <c r="C17" s="4" t="s">
        <v>143</v>
      </c>
      <c r="D17" s="4" t="s">
        <v>144</v>
      </c>
      <c r="E17" s="4" t="s">
        <v>59</v>
      </c>
      <c r="F17" s="4" t="s">
        <v>145</v>
      </c>
      <c r="G17" s="20" t="s">
        <v>146</v>
      </c>
      <c r="H17" s="4" t="s">
        <v>129</v>
      </c>
      <c r="I17" s="4" t="s">
        <v>147</v>
      </c>
      <c r="J17" s="4" t="s">
        <v>148</v>
      </c>
      <c r="K17" s="4" t="s">
        <v>132</v>
      </c>
      <c r="L17" s="9">
        <v>5</v>
      </c>
      <c r="M17" s="9"/>
      <c r="N17" s="9" t="s">
        <v>54</v>
      </c>
    </row>
    <row r="18" ht="23" spans="1:14">
      <c r="A18" s="5" t="s">
        <v>149</v>
      </c>
      <c r="B18" s="5" t="s">
        <v>150</v>
      </c>
      <c r="C18" s="5" t="s">
        <v>151</v>
      </c>
      <c r="D18" s="5" t="s">
        <v>58</v>
      </c>
      <c r="E18" s="5" t="s">
        <v>59</v>
      </c>
      <c r="F18" s="5" t="s">
        <v>152</v>
      </c>
      <c r="G18" s="21" t="s">
        <v>153</v>
      </c>
      <c r="H18" s="5" t="s">
        <v>129</v>
      </c>
      <c r="I18" s="5" t="s">
        <v>154</v>
      </c>
      <c r="J18" s="5" t="s">
        <v>155</v>
      </c>
      <c r="K18" s="5" t="s">
        <v>53</v>
      </c>
      <c r="L18" s="9">
        <v>3</v>
      </c>
      <c r="M18" s="9"/>
      <c r="N18" s="9" t="s">
        <v>54</v>
      </c>
    </row>
    <row r="19" ht="23" spans="1:14">
      <c r="A19" s="4" t="s">
        <v>156</v>
      </c>
      <c r="B19" s="4" t="s">
        <v>157</v>
      </c>
      <c r="C19" s="4" t="s">
        <v>158</v>
      </c>
      <c r="D19" s="4" t="s">
        <v>159</v>
      </c>
      <c r="E19" s="4" t="s">
        <v>59</v>
      </c>
      <c r="F19" s="4" t="s">
        <v>160</v>
      </c>
      <c r="G19" s="20" t="s">
        <v>161</v>
      </c>
      <c r="H19" s="4" t="s">
        <v>162</v>
      </c>
      <c r="I19" s="4" t="s">
        <v>163</v>
      </c>
      <c r="J19" s="4" t="s">
        <v>164</v>
      </c>
      <c r="K19" s="4" t="s">
        <v>132</v>
      </c>
      <c r="L19" s="9">
        <v>5</v>
      </c>
      <c r="M19" s="9"/>
      <c r="N19" s="9" t="s">
        <v>54</v>
      </c>
    </row>
    <row r="20" ht="34.5" spans="1:14">
      <c r="A20" s="5" t="s">
        <v>165</v>
      </c>
      <c r="B20" s="5" t="s">
        <v>166</v>
      </c>
      <c r="C20" s="5" t="s">
        <v>167</v>
      </c>
      <c r="D20" s="5" t="s">
        <v>168</v>
      </c>
      <c r="E20" s="5" t="s">
        <v>169</v>
      </c>
      <c r="F20" s="5" t="s">
        <v>170</v>
      </c>
      <c r="G20" s="21" t="s">
        <v>171</v>
      </c>
      <c r="H20" s="5" t="s">
        <v>162</v>
      </c>
      <c r="I20" s="5" t="s">
        <v>172</v>
      </c>
      <c r="J20" s="5" t="s">
        <v>173</v>
      </c>
      <c r="K20" s="5" t="s">
        <v>132</v>
      </c>
      <c r="L20" s="9">
        <v>4</v>
      </c>
      <c r="M20" s="9"/>
      <c r="N20" s="9" t="s">
        <v>54</v>
      </c>
    </row>
    <row r="21" spans="1:14">
      <c r="A21" s="4" t="s">
        <v>174</v>
      </c>
      <c r="B21" s="4" t="s">
        <v>175</v>
      </c>
      <c r="C21" s="4" t="s">
        <v>176</v>
      </c>
      <c r="D21" s="4" t="s">
        <v>58</v>
      </c>
      <c r="E21" s="4" t="s">
        <v>59</v>
      </c>
      <c r="F21" s="4" t="s">
        <v>177</v>
      </c>
      <c r="G21" s="20" t="s">
        <v>178</v>
      </c>
      <c r="H21" s="4" t="s">
        <v>179</v>
      </c>
      <c r="I21" s="4" t="s">
        <v>180</v>
      </c>
      <c r="J21" s="4" t="s">
        <v>181</v>
      </c>
      <c r="K21" s="4" t="s">
        <v>53</v>
      </c>
      <c r="L21" s="9">
        <v>2</v>
      </c>
      <c r="M21" s="9"/>
      <c r="N21" s="9" t="s">
        <v>54</v>
      </c>
    </row>
    <row r="22" ht="23" spans="1:14">
      <c r="A22" s="5" t="s">
        <v>182</v>
      </c>
      <c r="B22" s="5" t="s">
        <v>183</v>
      </c>
      <c r="C22" s="5" t="s">
        <v>184</v>
      </c>
      <c r="D22" s="5" t="s">
        <v>58</v>
      </c>
      <c r="E22" s="5" t="s">
        <v>47</v>
      </c>
      <c r="F22" s="5" t="s">
        <v>185</v>
      </c>
      <c r="G22" s="21" t="s">
        <v>186</v>
      </c>
      <c r="H22" s="5" t="s">
        <v>179</v>
      </c>
      <c r="I22" s="5" t="s">
        <v>187</v>
      </c>
      <c r="J22" s="5" t="s">
        <v>188</v>
      </c>
      <c r="K22" s="5" t="s">
        <v>53</v>
      </c>
      <c r="L22" s="9">
        <v>1</v>
      </c>
      <c r="M22" s="9"/>
      <c r="N22" s="9" t="s">
        <v>54</v>
      </c>
    </row>
    <row r="23" ht="23" spans="1:14">
      <c r="A23" s="4" t="s">
        <v>189</v>
      </c>
      <c r="B23" s="4" t="s">
        <v>190</v>
      </c>
      <c r="C23" s="4" t="s">
        <v>191</v>
      </c>
      <c r="D23" s="4" t="s">
        <v>58</v>
      </c>
      <c r="E23" s="4" t="s">
        <v>192</v>
      </c>
      <c r="F23" s="4" t="s">
        <v>193</v>
      </c>
      <c r="G23" s="20" t="s">
        <v>194</v>
      </c>
      <c r="H23" s="4" t="s">
        <v>179</v>
      </c>
      <c r="I23" s="4" t="s">
        <v>195</v>
      </c>
      <c r="J23" s="4" t="s">
        <v>196</v>
      </c>
      <c r="K23" s="4" t="s">
        <v>53</v>
      </c>
      <c r="L23" s="9">
        <v>1</v>
      </c>
      <c r="M23" s="9"/>
      <c r="N23" s="9" t="s">
        <v>54</v>
      </c>
    </row>
    <row r="24" ht="23" spans="1:14">
      <c r="A24" s="5" t="s">
        <v>197</v>
      </c>
      <c r="B24" s="5" t="s">
        <v>198</v>
      </c>
      <c r="C24" s="5" t="s">
        <v>199</v>
      </c>
      <c r="D24" s="5" t="s">
        <v>58</v>
      </c>
      <c r="E24" s="5" t="s">
        <v>59</v>
      </c>
      <c r="F24" s="5" t="s">
        <v>200</v>
      </c>
      <c r="G24" s="21" t="s">
        <v>201</v>
      </c>
      <c r="H24" s="5" t="s">
        <v>202</v>
      </c>
      <c r="I24" s="5" t="s">
        <v>203</v>
      </c>
      <c r="J24" s="5" t="s">
        <v>204</v>
      </c>
      <c r="K24" s="5" t="s">
        <v>53</v>
      </c>
      <c r="L24" s="9">
        <v>4</v>
      </c>
      <c r="M24" s="9"/>
      <c r="N24" s="9" t="s">
        <v>54</v>
      </c>
    </row>
    <row r="25" spans="1:14">
      <c r="A25" s="4" t="s">
        <v>205</v>
      </c>
      <c r="B25" s="4" t="s">
        <v>206</v>
      </c>
      <c r="C25" s="4" t="s">
        <v>206</v>
      </c>
      <c r="D25" s="4" t="s">
        <v>58</v>
      </c>
      <c r="E25" s="4" t="s">
        <v>59</v>
      </c>
      <c r="F25" s="4" t="s">
        <v>207</v>
      </c>
      <c r="G25" s="20" t="s">
        <v>208</v>
      </c>
      <c r="H25" s="4" t="s">
        <v>202</v>
      </c>
      <c r="I25" s="4" t="s">
        <v>209</v>
      </c>
      <c r="J25" s="4" t="s">
        <v>210</v>
      </c>
      <c r="K25" s="4" t="s">
        <v>53</v>
      </c>
      <c r="L25" s="9">
        <v>3</v>
      </c>
      <c r="M25" s="9"/>
      <c r="N25" s="9" t="s">
        <v>54</v>
      </c>
    </row>
    <row r="26" ht="23" spans="1:14">
      <c r="A26" s="5" t="s">
        <v>211</v>
      </c>
      <c r="B26" s="5" t="s">
        <v>212</v>
      </c>
      <c r="C26" s="5" t="s">
        <v>213</v>
      </c>
      <c r="D26" s="5" t="s">
        <v>58</v>
      </c>
      <c r="E26" s="5" t="s">
        <v>59</v>
      </c>
      <c r="F26" s="5" t="s">
        <v>214</v>
      </c>
      <c r="G26" s="21" t="s">
        <v>215</v>
      </c>
      <c r="H26" s="5" t="s">
        <v>202</v>
      </c>
      <c r="I26" s="5" t="s">
        <v>216</v>
      </c>
      <c r="J26" s="5" t="s">
        <v>217</v>
      </c>
      <c r="K26" s="5" t="s">
        <v>53</v>
      </c>
      <c r="L26" s="9">
        <v>3</v>
      </c>
      <c r="M26" s="9"/>
      <c r="N26" s="9" t="s">
        <v>54</v>
      </c>
    </row>
    <row r="27" ht="23" spans="1:14">
      <c r="A27" s="4" t="s">
        <v>218</v>
      </c>
      <c r="B27" s="4" t="s">
        <v>219</v>
      </c>
      <c r="C27" s="4" t="s">
        <v>220</v>
      </c>
      <c r="D27" s="4" t="s">
        <v>58</v>
      </c>
      <c r="E27" s="4" t="s">
        <v>59</v>
      </c>
      <c r="F27" s="4" t="s">
        <v>221</v>
      </c>
      <c r="G27" s="20" t="s">
        <v>222</v>
      </c>
      <c r="H27" s="4" t="s">
        <v>223</v>
      </c>
      <c r="I27" s="4" t="s">
        <v>224</v>
      </c>
      <c r="J27" s="4" t="s">
        <v>225</v>
      </c>
      <c r="K27" s="4" t="s">
        <v>53</v>
      </c>
      <c r="L27" s="9">
        <v>1</v>
      </c>
      <c r="M27" s="9"/>
      <c r="N27" s="9" t="s">
        <v>54</v>
      </c>
    </row>
    <row r="28" ht="23" spans="1:14">
      <c r="A28" s="5" t="s">
        <v>226</v>
      </c>
      <c r="B28" s="5" t="s">
        <v>227</v>
      </c>
      <c r="C28" s="5" t="s">
        <v>228</v>
      </c>
      <c r="D28" s="5" t="s">
        <v>58</v>
      </c>
      <c r="E28" s="5" t="s">
        <v>59</v>
      </c>
      <c r="F28" s="5" t="s">
        <v>229</v>
      </c>
      <c r="G28" s="21" t="s">
        <v>230</v>
      </c>
      <c r="H28" s="5" t="s">
        <v>129</v>
      </c>
      <c r="I28" s="5" t="s">
        <v>231</v>
      </c>
      <c r="J28" s="5" t="s">
        <v>232</v>
      </c>
      <c r="K28" s="5" t="s">
        <v>53</v>
      </c>
      <c r="L28" s="9">
        <v>3</v>
      </c>
      <c r="M28" s="9"/>
      <c r="N28" s="9" t="s">
        <v>54</v>
      </c>
    </row>
    <row r="29" spans="1:14">
      <c r="A29" s="4" t="s">
        <v>233</v>
      </c>
      <c r="B29" s="4" t="s">
        <v>234</v>
      </c>
      <c r="C29" s="4" t="s">
        <v>235</v>
      </c>
      <c r="D29" s="4" t="s">
        <v>58</v>
      </c>
      <c r="E29" s="4" t="s">
        <v>59</v>
      </c>
      <c r="F29" s="4" t="s">
        <v>236</v>
      </c>
      <c r="G29" s="20" t="s">
        <v>237</v>
      </c>
      <c r="H29" s="4" t="s">
        <v>238</v>
      </c>
      <c r="I29" s="4" t="s">
        <v>239</v>
      </c>
      <c r="J29" s="4" t="s">
        <v>93</v>
      </c>
      <c r="K29" s="4" t="s">
        <v>53</v>
      </c>
      <c r="L29" s="9">
        <v>2</v>
      </c>
      <c r="M29" s="9"/>
      <c r="N29" s="9" t="s">
        <v>54</v>
      </c>
    </row>
    <row r="30" spans="1:14">
      <c r="A30" s="5" t="s">
        <v>240</v>
      </c>
      <c r="B30" s="5" t="s">
        <v>241</v>
      </c>
      <c r="C30" s="5" t="s">
        <v>242</v>
      </c>
      <c r="D30" s="5" t="s">
        <v>58</v>
      </c>
      <c r="E30" s="5" t="s">
        <v>59</v>
      </c>
      <c r="F30" s="5" t="s">
        <v>243</v>
      </c>
      <c r="G30" s="21" t="s">
        <v>244</v>
      </c>
      <c r="H30" s="5" t="s">
        <v>238</v>
      </c>
      <c r="I30" s="5" t="s">
        <v>245</v>
      </c>
      <c r="J30" s="5" t="s">
        <v>93</v>
      </c>
      <c r="K30" s="5" t="s">
        <v>53</v>
      </c>
      <c r="L30" s="9">
        <v>2</v>
      </c>
      <c r="M30" s="9"/>
      <c r="N30" s="9" t="s">
        <v>54</v>
      </c>
    </row>
    <row r="31" spans="1:14">
      <c r="A31" s="4" t="s">
        <v>246</v>
      </c>
      <c r="B31" s="4" t="s">
        <v>247</v>
      </c>
      <c r="C31" s="4" t="s">
        <v>248</v>
      </c>
      <c r="D31" s="4" t="s">
        <v>58</v>
      </c>
      <c r="E31" s="4" t="s">
        <v>59</v>
      </c>
      <c r="F31" s="4" t="s">
        <v>249</v>
      </c>
      <c r="G31" s="20" t="s">
        <v>250</v>
      </c>
      <c r="H31" s="4" t="s">
        <v>251</v>
      </c>
      <c r="I31" s="4" t="s">
        <v>252</v>
      </c>
      <c r="J31" s="4" t="s">
        <v>253</v>
      </c>
      <c r="K31" s="4" t="s">
        <v>53</v>
      </c>
      <c r="L31" s="9">
        <v>1</v>
      </c>
      <c r="M31" s="9"/>
      <c r="N31" s="9" t="s">
        <v>54</v>
      </c>
    </row>
    <row r="32" ht="23" spans="1:14">
      <c r="A32" s="5" t="s">
        <v>254</v>
      </c>
      <c r="B32" s="5" t="s">
        <v>255</v>
      </c>
      <c r="C32" s="5" t="s">
        <v>256</v>
      </c>
      <c r="D32" s="5" t="s">
        <v>58</v>
      </c>
      <c r="E32" s="5" t="s">
        <v>59</v>
      </c>
      <c r="F32" s="5" t="s">
        <v>257</v>
      </c>
      <c r="G32" s="21" t="s">
        <v>258</v>
      </c>
      <c r="H32" s="5" t="s">
        <v>259</v>
      </c>
      <c r="I32" s="5" t="s">
        <v>260</v>
      </c>
      <c r="J32" s="5" t="s">
        <v>261</v>
      </c>
      <c r="K32" s="5" t="s">
        <v>53</v>
      </c>
      <c r="L32" s="9">
        <v>2</v>
      </c>
      <c r="M32" s="9"/>
      <c r="N32" s="9" t="s">
        <v>54</v>
      </c>
    </row>
    <row r="33" spans="1:14">
      <c r="A33" s="4" t="s">
        <v>262</v>
      </c>
      <c r="B33" s="4" t="s">
        <v>263</v>
      </c>
      <c r="C33" s="4" t="s">
        <v>264</v>
      </c>
      <c r="D33" s="4" t="s">
        <v>58</v>
      </c>
      <c r="E33" s="4" t="s">
        <v>59</v>
      </c>
      <c r="F33" s="4" t="s">
        <v>265</v>
      </c>
      <c r="G33" s="20" t="s">
        <v>266</v>
      </c>
      <c r="H33" s="4" t="s">
        <v>267</v>
      </c>
      <c r="I33" s="4" t="s">
        <v>268</v>
      </c>
      <c r="J33" s="4" t="s">
        <v>261</v>
      </c>
      <c r="K33" s="4" t="s">
        <v>53</v>
      </c>
      <c r="L33" s="9">
        <v>3</v>
      </c>
      <c r="M33" s="9"/>
      <c r="N33" s="9" t="s">
        <v>54</v>
      </c>
    </row>
    <row r="34" spans="1:14">
      <c r="A34" s="5" t="s">
        <v>269</v>
      </c>
      <c r="B34" s="5" t="s">
        <v>270</v>
      </c>
      <c r="C34" s="5" t="s">
        <v>271</v>
      </c>
      <c r="D34" s="5" t="s">
        <v>58</v>
      </c>
      <c r="E34" s="5" t="s">
        <v>47</v>
      </c>
      <c r="F34" s="5" t="s">
        <v>272</v>
      </c>
      <c r="G34" s="21" t="s">
        <v>273</v>
      </c>
      <c r="H34" s="5" t="s">
        <v>274</v>
      </c>
      <c r="I34" s="5" t="s">
        <v>275</v>
      </c>
      <c r="J34" s="5" t="s">
        <v>276</v>
      </c>
      <c r="K34" s="5" t="s">
        <v>53</v>
      </c>
      <c r="L34" s="9">
        <v>2</v>
      </c>
      <c r="M34" s="9"/>
      <c r="N34" s="9" t="s">
        <v>54</v>
      </c>
    </row>
    <row r="35" spans="1:14">
      <c r="A35" s="4" t="s">
        <v>277</v>
      </c>
      <c r="B35" s="4" t="s">
        <v>278</v>
      </c>
      <c r="C35" s="4" t="s">
        <v>279</v>
      </c>
      <c r="D35" s="4" t="s">
        <v>58</v>
      </c>
      <c r="E35" s="4" t="s">
        <v>59</v>
      </c>
      <c r="F35" s="4" t="s">
        <v>280</v>
      </c>
      <c r="G35" s="20" t="s">
        <v>281</v>
      </c>
      <c r="H35" s="4" t="s">
        <v>238</v>
      </c>
      <c r="I35" s="4" t="s">
        <v>282</v>
      </c>
      <c r="J35" s="4" t="s">
        <v>232</v>
      </c>
      <c r="K35" s="4" t="s">
        <v>53</v>
      </c>
      <c r="L35" s="9">
        <v>2</v>
      </c>
      <c r="M35" s="9"/>
      <c r="N35" s="9" t="s">
        <v>54</v>
      </c>
    </row>
    <row r="36" ht="23" spans="1:14">
      <c r="A36" s="5" t="s">
        <v>283</v>
      </c>
      <c r="B36" s="5" t="s">
        <v>284</v>
      </c>
      <c r="C36" s="5" t="s">
        <v>285</v>
      </c>
      <c r="D36" s="5" t="s">
        <v>58</v>
      </c>
      <c r="E36" s="5" t="s">
        <v>47</v>
      </c>
      <c r="F36" s="5" t="s">
        <v>286</v>
      </c>
      <c r="G36" s="21" t="s">
        <v>287</v>
      </c>
      <c r="H36" s="5" t="s">
        <v>288</v>
      </c>
      <c r="I36" s="5" t="s">
        <v>289</v>
      </c>
      <c r="J36" s="5" t="s">
        <v>290</v>
      </c>
      <c r="K36" s="5" t="s">
        <v>291</v>
      </c>
      <c r="L36" s="9">
        <v>3</v>
      </c>
      <c r="M36" s="9"/>
      <c r="N36" s="9" t="s">
        <v>54</v>
      </c>
    </row>
    <row r="37" ht="23" spans="1:14">
      <c r="A37" s="4" t="s">
        <v>292</v>
      </c>
      <c r="B37" s="4" t="s">
        <v>293</v>
      </c>
      <c r="C37" s="4" t="s">
        <v>293</v>
      </c>
      <c r="D37" s="4" t="s">
        <v>58</v>
      </c>
      <c r="E37" s="4" t="s">
        <v>294</v>
      </c>
      <c r="F37" s="4" t="s">
        <v>295</v>
      </c>
      <c r="G37" s="20" t="s">
        <v>296</v>
      </c>
      <c r="H37" s="4" t="s">
        <v>288</v>
      </c>
      <c r="I37" s="4" t="s">
        <v>297</v>
      </c>
      <c r="J37" s="4" t="s">
        <v>196</v>
      </c>
      <c r="K37" s="4" t="s">
        <v>291</v>
      </c>
      <c r="L37" s="9">
        <v>3</v>
      </c>
      <c r="M37" s="9"/>
      <c r="N37" s="9" t="s">
        <v>54</v>
      </c>
    </row>
    <row r="38" ht="23" spans="1:14">
      <c r="A38" s="5" t="s">
        <v>298</v>
      </c>
      <c r="B38" s="5" t="s">
        <v>299</v>
      </c>
      <c r="C38" s="5" t="s">
        <v>299</v>
      </c>
      <c r="D38" s="5" t="s">
        <v>58</v>
      </c>
      <c r="E38" s="5" t="s">
        <v>294</v>
      </c>
      <c r="F38" s="5" t="s">
        <v>300</v>
      </c>
      <c r="G38" s="21" t="s">
        <v>301</v>
      </c>
      <c r="H38" s="5" t="s">
        <v>288</v>
      </c>
      <c r="I38" s="5" t="s">
        <v>302</v>
      </c>
      <c r="J38" s="5" t="s">
        <v>196</v>
      </c>
      <c r="K38" s="5" t="s">
        <v>291</v>
      </c>
      <c r="L38" s="9">
        <v>3</v>
      </c>
      <c r="M38" s="9"/>
      <c r="N38" s="9" t="s">
        <v>54</v>
      </c>
    </row>
    <row r="39" ht="23" spans="1:14">
      <c r="A39" s="4" t="s">
        <v>303</v>
      </c>
      <c r="B39" s="4" t="s">
        <v>304</v>
      </c>
      <c r="C39" s="4" t="s">
        <v>305</v>
      </c>
      <c r="D39" s="4" t="s">
        <v>58</v>
      </c>
      <c r="E39" s="4" t="s">
        <v>47</v>
      </c>
      <c r="F39" s="4" t="s">
        <v>306</v>
      </c>
      <c r="G39" s="20" t="s">
        <v>307</v>
      </c>
      <c r="H39" s="4" t="s">
        <v>288</v>
      </c>
      <c r="I39" s="4" t="s">
        <v>308</v>
      </c>
      <c r="J39" s="4" t="s">
        <v>309</v>
      </c>
      <c r="K39" s="4" t="s">
        <v>291</v>
      </c>
      <c r="L39" s="9">
        <v>3</v>
      </c>
      <c r="M39" s="9"/>
      <c r="N39" s="9" t="s">
        <v>54</v>
      </c>
    </row>
    <row r="40" ht="23" spans="1:14">
      <c r="A40" s="5" t="s">
        <v>310</v>
      </c>
      <c r="B40" s="5" t="s">
        <v>311</v>
      </c>
      <c r="C40" s="5" t="s">
        <v>312</v>
      </c>
      <c r="D40" s="5" t="s">
        <v>58</v>
      </c>
      <c r="E40" s="5" t="s">
        <v>47</v>
      </c>
      <c r="F40" s="5" t="s">
        <v>313</v>
      </c>
      <c r="G40" s="21" t="s">
        <v>314</v>
      </c>
      <c r="H40" s="5" t="s">
        <v>129</v>
      </c>
      <c r="I40" s="5" t="s">
        <v>315</v>
      </c>
      <c r="J40" s="5" t="s">
        <v>316</v>
      </c>
      <c r="K40" s="5" t="s">
        <v>291</v>
      </c>
      <c r="L40" s="9">
        <v>3</v>
      </c>
      <c r="M40" s="9"/>
      <c r="N40" s="9" t="s">
        <v>54</v>
      </c>
    </row>
    <row r="41" ht="23" spans="1:14">
      <c r="A41" s="4" t="s">
        <v>317</v>
      </c>
      <c r="B41" s="4" t="s">
        <v>318</v>
      </c>
      <c r="C41" s="4" t="s">
        <v>319</v>
      </c>
      <c r="D41" s="4" t="s">
        <v>58</v>
      </c>
      <c r="E41" s="4" t="s">
        <v>192</v>
      </c>
      <c r="F41" s="4" t="s">
        <v>320</v>
      </c>
      <c r="G41" s="4" t="s">
        <v>321</v>
      </c>
      <c r="H41" s="4" t="s">
        <v>322</v>
      </c>
      <c r="I41" s="4" t="s">
        <v>323</v>
      </c>
      <c r="J41" s="4" t="s">
        <v>324</v>
      </c>
      <c r="K41" s="4" t="s">
        <v>325</v>
      </c>
      <c r="L41" s="9">
        <v>4</v>
      </c>
      <c r="M41" s="9"/>
      <c r="N41" s="9" t="s">
        <v>54</v>
      </c>
    </row>
    <row r="42" spans="1:14">
      <c r="A42" s="5" t="s">
        <v>326</v>
      </c>
      <c r="B42" s="5" t="s">
        <v>327</v>
      </c>
      <c r="C42" s="5" t="s">
        <v>328</v>
      </c>
      <c r="D42" s="5" t="s">
        <v>329</v>
      </c>
      <c r="E42" s="5" t="s">
        <v>59</v>
      </c>
      <c r="F42" s="5" t="s">
        <v>330</v>
      </c>
      <c r="G42" s="21" t="s">
        <v>331</v>
      </c>
      <c r="H42" s="5" t="s">
        <v>332</v>
      </c>
      <c r="I42" s="5" t="s">
        <v>333</v>
      </c>
      <c r="J42" s="5" t="s">
        <v>334</v>
      </c>
      <c r="K42" s="5" t="s">
        <v>335</v>
      </c>
      <c r="L42" s="9">
        <v>5</v>
      </c>
      <c r="M42" s="9"/>
      <c r="N42" s="9" t="s">
        <v>54</v>
      </c>
    </row>
    <row r="43" spans="1:14">
      <c r="A43" s="4" t="s">
        <v>336</v>
      </c>
      <c r="B43" s="4" t="s">
        <v>337</v>
      </c>
      <c r="C43" s="4" t="s">
        <v>338</v>
      </c>
      <c r="D43" s="4" t="s">
        <v>329</v>
      </c>
      <c r="E43" s="4" t="s">
        <v>59</v>
      </c>
      <c r="F43" s="4" t="s">
        <v>339</v>
      </c>
      <c r="G43" s="20" t="s">
        <v>340</v>
      </c>
      <c r="H43" s="4" t="s">
        <v>332</v>
      </c>
      <c r="I43" s="4" t="s">
        <v>333</v>
      </c>
      <c r="J43" s="4" t="s">
        <v>334</v>
      </c>
      <c r="K43" s="4" t="s">
        <v>335</v>
      </c>
      <c r="L43" s="9">
        <v>3</v>
      </c>
      <c r="M43" s="9"/>
      <c r="N43" s="9" t="s">
        <v>54</v>
      </c>
    </row>
  </sheetData>
  <autoFilter xmlns:etc="http://www.wps.cn/officeDocument/2017/etCustomData" ref="A4:N43" etc:filterBottomFollowUsedRange="0">
    <extLst/>
  </autoFilter>
  <conditionalFormatting sqref="K5:K43">
    <cfRule type="expression" dxfId="0" priority="3">
      <formula>K5="Not read"</formula>
    </cfRule>
  </conditionalFormatting>
  <conditionalFormatting sqref="L5:L43">
    <cfRule type="cellIs" dxfId="1" priority="2" operator="greaterThanOrEqual">
      <formula>5</formula>
    </cfRule>
  </conditionalFormatting>
  <dataValidations count="2">
    <dataValidation type="whole" operator="between" sqref="L5:L43">
      <formula1>1</formula1>
      <formula2>5</formula2>
    </dataValidation>
    <dataValidation type="list" allowBlank="1" sqref="N5:N43">
      <formula1>"Not yet,Skimmed,Fully read"</formula1>
    </dataValidation>
  </dataValidations>
  <hyperlinks>
    <hyperlink ref="G5" r:id="rId1" display="https://arxiv.org/abs/2508.21038"/>
    <hyperlink ref="G6" r:id="rId2" display="https://arxiv.org/abs/2605.23556"/>
    <hyperlink ref="G7" r:id="rId3" display="https://arxiv.org/abs/2606.23475"/>
    <hyperlink ref="G8" r:id="rId4" display="https://arxiv.org/abs/2509.21199"/>
    <hyperlink ref="G9" r:id="rId5" display="https://arxiv.org/abs/2508.07999"/>
    <hyperlink ref="G10" r:id="rId6" display="https://arxiv.org/abs/2508.19113"/>
    <hyperlink ref="G11" r:id="rId7" display="https://arxiv.org/abs/2510.10009"/>
    <hyperlink ref="G12" r:id="rId8" display="https://arxiv.org/abs/2509.25530"/>
    <hyperlink ref="G13" r:id="rId9" display="https://arxiv.org/abs/2601.19827"/>
    <hyperlink ref="G14" r:id="rId10" display="https://arxiv.org/abs/2609.22056"/>
    <hyperlink ref="G15" r:id="rId11" display="https://arxiv.org/abs/2608.17889"/>
    <hyperlink ref="G16" r:id="rId12" display="https://arxiv.org/abs/2508.03644"/>
    <hyperlink ref="G17" r:id="rId13" display="https://arxiv.org/abs/2602.12876"/>
    <hyperlink ref="G18" r:id="rId14" display="https://arxiv.org/abs/2603.05697"/>
    <hyperlink ref="G19" r:id="rId15" display="https://arxiv.org/abs/2609.05518"/>
    <hyperlink ref="G20" r:id="rId16" display="https://arxiv.org/abs/2104.06039"/>
    <hyperlink ref="G21" r:id="rId17" display="https://aclanthology.org/2026.magmar-main.3/"/>
    <hyperlink ref="G22" r:id="rId18" display="https://arxiv.org/abs/2511.19199"/>
    <hyperlink ref="G23" r:id="rId19" display="https://ojs.aaai.org/index.php/AAAI/article/view/39385"/>
    <hyperlink ref="G24" r:id="rId20" display="https://arxiv.org/abs/2608.20627"/>
    <hyperlink ref="G25" r:id="rId21" display="https://arxiv.org/abs/2606.08275"/>
    <hyperlink ref="G26" r:id="rId22" display="https://arxiv.org/abs/2609.06445"/>
    <hyperlink ref="G27" r:id="rId23" display="https://arxiv.org/abs/2607.10491"/>
    <hyperlink ref="G28" r:id="rId24" display="https://arxiv.org/abs/2603.16289"/>
    <hyperlink ref="G29" r:id="rId25" display="https://arxiv.org/abs/2606.15906"/>
    <hyperlink ref="G30" r:id="rId26" display="https://arxiv.org/abs/2605.10832"/>
    <hyperlink ref="G31" r:id="rId27" display="https://arxiv.org/abs/2605.10253"/>
    <hyperlink ref="G32" r:id="rId28" display="https://arxiv.org/abs/2608.01792"/>
    <hyperlink ref="G33" r:id="rId29" display="https://arxiv.org/abs/2607.16604"/>
    <hyperlink ref="G34" r:id="rId30" display="https://arxiv.org/abs/2506.03100"/>
    <hyperlink ref="G35" r:id="rId31" display="https://arxiv.org/abs/2605.27123"/>
    <hyperlink ref="G36" r:id="rId32" display="https://arxiv.org/abs/2505.16470"/>
    <hyperlink ref="G37" r:id="rId33" display="https://arxiv.org/abs/2407.01523"/>
    <hyperlink ref="G38" r:id="rId34" display="https://arxiv.org/abs/2412.18424"/>
    <hyperlink ref="G39" r:id="rId35" display="https://arxiv.org/abs/2502.04176"/>
    <hyperlink ref="G40" r:id="rId36" display="https://github.com/mmsearch-plus/MMSearch-Plus"/>
    <hyperlink ref="G42" r:id="rId37" display="https://arxiv.org/abs/2609.38743"/>
    <hyperlink ref="G43" r:id="rId38" display="https://arxiv.org/abs/2609.38222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:T20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6" customWidth="1"/>
    <col min="2" max="3" width="18" customWidth="1"/>
    <col min="4" max="4" width="26" customWidth="1"/>
    <col min="5" max="5" width="24" customWidth="1"/>
    <col min="6" max="6" width="10" customWidth="1"/>
    <col min="7" max="7" width="12" customWidth="1"/>
    <col min="8" max="8" width="9" customWidth="1"/>
    <col min="9" max="9" width="36" customWidth="1"/>
    <col min="10" max="10" width="10" customWidth="1"/>
    <col min="11" max="11" width="7" customWidth="1"/>
    <col min="12" max="12" width="30" customWidth="1"/>
    <col min="13" max="13" width="38" customWidth="1"/>
    <col min="14" max="16" width="24" customWidth="1"/>
    <col min="17" max="17" width="26" customWidth="1"/>
    <col min="18" max="18" width="38" customWidth="1"/>
    <col min="19" max="19" width="11" customWidth="1"/>
    <col min="20" max="20" width="14" customWidth="1"/>
  </cols>
  <sheetData>
    <row r="1" ht="18" spans="1:20">
      <c r="A1" s="1" t="s">
        <v>341</v>
      </c>
    </row>
    <row r="2" spans="1:20">
      <c r="A2" s="2" t="s">
        <v>342</v>
      </c>
    </row>
    <row r="4" ht="31.5" customHeight="1" spans="1:20">
      <c r="A4" s="3" t="s">
        <v>29</v>
      </c>
      <c r="B4" s="3" t="s">
        <v>343</v>
      </c>
      <c r="C4" s="3" t="s">
        <v>344</v>
      </c>
      <c r="D4" s="3" t="s">
        <v>345</v>
      </c>
      <c r="E4" s="3" t="s">
        <v>346</v>
      </c>
      <c r="F4" s="3" t="s">
        <v>347</v>
      </c>
      <c r="G4" s="3" t="s">
        <v>348</v>
      </c>
      <c r="H4" s="3" t="s">
        <v>349</v>
      </c>
      <c r="I4" s="3" t="s">
        <v>350</v>
      </c>
      <c r="J4" s="3" t="s">
        <v>351</v>
      </c>
      <c r="K4" s="3" t="s">
        <v>352</v>
      </c>
      <c r="L4" s="3" t="s">
        <v>353</v>
      </c>
      <c r="M4" s="3" t="s">
        <v>354</v>
      </c>
      <c r="N4" s="3" t="s">
        <v>355</v>
      </c>
      <c r="O4" s="3" t="s">
        <v>356</v>
      </c>
      <c r="P4" s="3" t="s">
        <v>357</v>
      </c>
      <c r="Q4" s="3" t="s">
        <v>358</v>
      </c>
      <c r="R4" s="3" t="s">
        <v>359</v>
      </c>
      <c r="S4" s="3" t="s">
        <v>360</v>
      </c>
      <c r="T4" s="3" t="s">
        <v>361</v>
      </c>
    </row>
    <row r="5" ht="34.5" spans="1:20">
      <c r="A5" s="4" t="s">
        <v>362</v>
      </c>
      <c r="B5" s="4" t="s">
        <v>157</v>
      </c>
      <c r="C5" s="4" t="s">
        <v>363</v>
      </c>
      <c r="D5" s="4" t="s">
        <v>364</v>
      </c>
      <c r="E5" s="4" t="s">
        <v>365</v>
      </c>
      <c r="F5" s="10">
        <v>1863</v>
      </c>
      <c r="G5" s="10">
        <v>4987</v>
      </c>
      <c r="H5" s="10">
        <v>4431</v>
      </c>
      <c r="I5" s="4" t="s">
        <v>366</v>
      </c>
      <c r="J5" s="4" t="s">
        <v>367</v>
      </c>
      <c r="K5" s="4" t="s">
        <v>156</v>
      </c>
      <c r="L5" s="20" t="s">
        <v>161</v>
      </c>
      <c r="M5" s="4" t="s">
        <v>368</v>
      </c>
      <c r="N5" s="4" t="s">
        <v>369</v>
      </c>
      <c r="O5" s="4" t="s">
        <v>370</v>
      </c>
      <c r="P5" s="4" t="s">
        <v>371</v>
      </c>
      <c r="Q5" s="4" t="s">
        <v>372</v>
      </c>
      <c r="R5" s="4" t="s">
        <v>373</v>
      </c>
      <c r="S5" s="18"/>
      <c r="T5" s="9" t="s">
        <v>374</v>
      </c>
    </row>
    <row r="6" ht="23" spans="1:20">
      <c r="A6" s="5" t="s">
        <v>375</v>
      </c>
      <c r="B6" s="5" t="s">
        <v>124</v>
      </c>
      <c r="C6" s="5" t="s">
        <v>376</v>
      </c>
      <c r="D6" s="5" t="s">
        <v>377</v>
      </c>
      <c r="E6" s="5" t="s">
        <v>378</v>
      </c>
      <c r="F6" s="13">
        <v>120</v>
      </c>
      <c r="G6" s="13">
        <v>2375</v>
      </c>
      <c r="H6" s="13"/>
      <c r="I6" s="5" t="s">
        <v>379</v>
      </c>
      <c r="J6" s="5" t="s">
        <v>367</v>
      </c>
      <c r="K6" s="5" t="s">
        <v>123</v>
      </c>
      <c r="L6" s="21" t="s">
        <v>128</v>
      </c>
      <c r="M6" s="21" t="s">
        <v>380</v>
      </c>
      <c r="N6" s="5" t="s">
        <v>381</v>
      </c>
      <c r="O6" s="5" t="s">
        <v>382</v>
      </c>
      <c r="P6" s="5" t="s">
        <v>132</v>
      </c>
      <c r="Q6" s="5" t="s">
        <v>383</v>
      </c>
      <c r="R6" s="5" t="s">
        <v>384</v>
      </c>
      <c r="S6" s="18"/>
      <c r="T6" s="9" t="s">
        <v>374</v>
      </c>
    </row>
    <row r="7" ht="23" spans="1:20">
      <c r="A7" s="4" t="s">
        <v>385</v>
      </c>
      <c r="B7" s="4" t="s">
        <v>134</v>
      </c>
      <c r="C7" s="4" t="s">
        <v>376</v>
      </c>
      <c r="D7" s="4" t="s">
        <v>386</v>
      </c>
      <c r="E7" s="4" t="s">
        <v>387</v>
      </c>
      <c r="F7" s="10">
        <v>5168</v>
      </c>
      <c r="G7" s="10">
        <v>72880</v>
      </c>
      <c r="H7" s="10"/>
      <c r="I7" s="4" t="s">
        <v>388</v>
      </c>
      <c r="J7" s="4" t="s">
        <v>389</v>
      </c>
      <c r="K7" s="4" t="s">
        <v>133</v>
      </c>
      <c r="L7" s="20" t="s">
        <v>138</v>
      </c>
      <c r="M7" s="20" t="s">
        <v>390</v>
      </c>
      <c r="N7" s="4" t="s">
        <v>391</v>
      </c>
      <c r="O7" s="4" t="s">
        <v>392</v>
      </c>
      <c r="P7" s="4" t="s">
        <v>132</v>
      </c>
      <c r="Q7" s="4" t="s">
        <v>383</v>
      </c>
      <c r="R7" s="4" t="s">
        <v>393</v>
      </c>
      <c r="S7" s="18"/>
      <c r="T7" s="9" t="s">
        <v>374</v>
      </c>
    </row>
    <row r="8" ht="23" spans="1:20">
      <c r="A8" s="5" t="s">
        <v>394</v>
      </c>
      <c r="B8" s="5" t="s">
        <v>142</v>
      </c>
      <c r="C8" s="5" t="s">
        <v>376</v>
      </c>
      <c r="D8" s="5" t="s">
        <v>395</v>
      </c>
      <c r="E8" s="5" t="s">
        <v>396</v>
      </c>
      <c r="F8" s="13">
        <v>300</v>
      </c>
      <c r="G8" s="13"/>
      <c r="H8" s="13"/>
      <c r="I8" s="5" t="s">
        <v>397</v>
      </c>
      <c r="J8" s="5" t="s">
        <v>367</v>
      </c>
      <c r="K8" s="5" t="s">
        <v>141</v>
      </c>
      <c r="L8" s="21" t="s">
        <v>146</v>
      </c>
      <c r="M8" s="5" t="s">
        <v>398</v>
      </c>
      <c r="N8" s="5" t="s">
        <v>399</v>
      </c>
      <c r="O8" s="5" t="s">
        <v>400</v>
      </c>
      <c r="P8" s="5" t="s">
        <v>401</v>
      </c>
      <c r="Q8" s="5" t="s">
        <v>402</v>
      </c>
      <c r="R8" s="5" t="s">
        <v>403</v>
      </c>
      <c r="S8" s="18"/>
      <c r="T8" s="9" t="s">
        <v>374</v>
      </c>
    </row>
    <row r="9" ht="23" spans="1:20">
      <c r="A9" s="4" t="s">
        <v>404</v>
      </c>
      <c r="B9" s="4" t="s">
        <v>166</v>
      </c>
      <c r="C9" s="4" t="s">
        <v>405</v>
      </c>
      <c r="D9" s="4" t="s">
        <v>406</v>
      </c>
      <c r="E9" s="4" t="s">
        <v>407</v>
      </c>
      <c r="F9" s="10">
        <v>29918</v>
      </c>
      <c r="G9" s="10"/>
      <c r="H9" s="10"/>
      <c r="I9" s="4" t="s">
        <v>408</v>
      </c>
      <c r="J9" s="4" t="s">
        <v>367</v>
      </c>
      <c r="K9" s="4" t="s">
        <v>165</v>
      </c>
      <c r="L9" s="20" t="s">
        <v>171</v>
      </c>
      <c r="M9" s="20" t="s">
        <v>409</v>
      </c>
      <c r="N9" s="4" t="s">
        <v>410</v>
      </c>
      <c r="O9" s="4" t="s">
        <v>411</v>
      </c>
      <c r="P9" s="4" t="s">
        <v>412</v>
      </c>
      <c r="Q9" s="4" t="s">
        <v>413</v>
      </c>
      <c r="R9" s="4" t="s">
        <v>414</v>
      </c>
      <c r="S9" s="18"/>
      <c r="T9" s="9" t="s">
        <v>374</v>
      </c>
    </row>
    <row r="10" ht="23" spans="1:20">
      <c r="A10" s="5" t="s">
        <v>415</v>
      </c>
      <c r="B10" s="5" t="s">
        <v>284</v>
      </c>
      <c r="C10" s="5" t="s">
        <v>416</v>
      </c>
      <c r="D10" s="5" t="s">
        <v>417</v>
      </c>
      <c r="E10" s="5" t="s">
        <v>418</v>
      </c>
      <c r="F10" s="13">
        <v>4055</v>
      </c>
      <c r="G10" s="13">
        <v>222</v>
      </c>
      <c r="H10" s="13"/>
      <c r="I10" s="5" t="s">
        <v>419</v>
      </c>
      <c r="J10" s="5" t="s">
        <v>367</v>
      </c>
      <c r="K10" s="5" t="s">
        <v>283</v>
      </c>
      <c r="L10" s="21" t="s">
        <v>287</v>
      </c>
      <c r="M10" s="21" t="s">
        <v>420</v>
      </c>
      <c r="N10" s="5" t="s">
        <v>421</v>
      </c>
      <c r="O10" s="5" t="s">
        <v>410</v>
      </c>
      <c r="P10" s="5" t="s">
        <v>422</v>
      </c>
      <c r="Q10" s="5" t="s">
        <v>291</v>
      </c>
      <c r="R10" s="5" t="s">
        <v>423</v>
      </c>
      <c r="S10" s="18"/>
      <c r="T10" s="9" t="s">
        <v>374</v>
      </c>
    </row>
    <row r="11" ht="23" spans="1:20">
      <c r="A11" s="4" t="s">
        <v>424</v>
      </c>
      <c r="B11" s="4" t="s">
        <v>293</v>
      </c>
      <c r="C11" s="4" t="s">
        <v>416</v>
      </c>
      <c r="D11" s="4" t="s">
        <v>425</v>
      </c>
      <c r="E11" s="4" t="s">
        <v>426</v>
      </c>
      <c r="F11" s="10">
        <v>1062</v>
      </c>
      <c r="G11" s="10">
        <v>130</v>
      </c>
      <c r="H11" s="10"/>
      <c r="I11" s="4" t="s">
        <v>427</v>
      </c>
      <c r="J11" s="4" t="s">
        <v>367</v>
      </c>
      <c r="K11" s="4" t="s">
        <v>292</v>
      </c>
      <c r="L11" s="20" t="s">
        <v>296</v>
      </c>
      <c r="M11" s="20" t="s">
        <v>428</v>
      </c>
      <c r="N11" s="4" t="s">
        <v>429</v>
      </c>
      <c r="O11" s="4" t="s">
        <v>410</v>
      </c>
      <c r="P11" s="4" t="s">
        <v>422</v>
      </c>
      <c r="Q11" s="4" t="s">
        <v>291</v>
      </c>
      <c r="R11" s="4" t="s">
        <v>423</v>
      </c>
      <c r="S11" s="18"/>
      <c r="T11" s="9" t="s">
        <v>374</v>
      </c>
    </row>
    <row r="12" ht="23" spans="1:20">
      <c r="A12" s="5" t="s">
        <v>430</v>
      </c>
      <c r="B12" s="5" t="s">
        <v>299</v>
      </c>
      <c r="C12" s="5" t="s">
        <v>416</v>
      </c>
      <c r="D12" s="5" t="s">
        <v>431</v>
      </c>
      <c r="E12" s="5" t="s">
        <v>432</v>
      </c>
      <c r="F12" s="13">
        <v>2325</v>
      </c>
      <c r="G12" s="13">
        <v>33000</v>
      </c>
      <c r="H12" s="13"/>
      <c r="I12" s="5" t="s">
        <v>433</v>
      </c>
      <c r="J12" s="5" t="s">
        <v>367</v>
      </c>
      <c r="K12" s="5" t="s">
        <v>298</v>
      </c>
      <c r="L12" s="21" t="s">
        <v>301</v>
      </c>
      <c r="M12" s="21" t="s">
        <v>434</v>
      </c>
      <c r="N12" s="5" t="s">
        <v>435</v>
      </c>
      <c r="O12" s="5" t="s">
        <v>410</v>
      </c>
      <c r="P12" s="5" t="s">
        <v>422</v>
      </c>
      <c r="Q12" s="5" t="s">
        <v>291</v>
      </c>
      <c r="R12" s="5" t="s">
        <v>436</v>
      </c>
      <c r="S12" s="18"/>
      <c r="T12" s="9" t="s">
        <v>374</v>
      </c>
    </row>
    <row r="13" ht="23" spans="1:20">
      <c r="A13" s="4" t="s">
        <v>437</v>
      </c>
      <c r="B13" s="4" t="s">
        <v>304</v>
      </c>
      <c r="C13" s="4" t="s">
        <v>416</v>
      </c>
      <c r="D13" s="4" t="s">
        <v>438</v>
      </c>
      <c r="E13" s="4" t="s">
        <v>439</v>
      </c>
      <c r="F13" s="10">
        <v>4800</v>
      </c>
      <c r="G13" s="10">
        <v>4346</v>
      </c>
      <c r="H13" s="10">
        <v>14190</v>
      </c>
      <c r="I13" s="4" t="s">
        <v>440</v>
      </c>
      <c r="J13" s="4" t="s">
        <v>367</v>
      </c>
      <c r="K13" s="4" t="s">
        <v>303</v>
      </c>
      <c r="L13" s="20" t="s">
        <v>307</v>
      </c>
      <c r="M13" s="20" t="s">
        <v>441</v>
      </c>
      <c r="N13" s="4" t="s">
        <v>442</v>
      </c>
      <c r="O13" s="4" t="s">
        <v>410</v>
      </c>
      <c r="P13" s="4" t="s">
        <v>422</v>
      </c>
      <c r="Q13" s="4" t="s">
        <v>291</v>
      </c>
      <c r="R13" s="4" t="s">
        <v>443</v>
      </c>
      <c r="S13" s="18"/>
      <c r="T13" s="9" t="s">
        <v>374</v>
      </c>
    </row>
    <row r="14" ht="23" spans="1:20">
      <c r="A14" s="5" t="s">
        <v>444</v>
      </c>
      <c r="B14" s="5" t="s">
        <v>150</v>
      </c>
      <c r="C14" s="5" t="s">
        <v>445</v>
      </c>
      <c r="D14" s="5" t="s">
        <v>446</v>
      </c>
      <c r="E14" s="5" t="s">
        <v>447</v>
      </c>
      <c r="F14" s="13">
        <v>747</v>
      </c>
      <c r="G14" s="13">
        <v>46000</v>
      </c>
      <c r="H14" s="13"/>
      <c r="I14" s="5" t="s">
        <v>155</v>
      </c>
      <c r="J14" s="5" t="s">
        <v>367</v>
      </c>
      <c r="K14" s="5" t="s">
        <v>149</v>
      </c>
      <c r="L14" s="21" t="s">
        <v>153</v>
      </c>
      <c r="M14" s="5" t="s">
        <v>448</v>
      </c>
      <c r="N14" s="5" t="s">
        <v>410</v>
      </c>
      <c r="O14" s="5" t="s">
        <v>449</v>
      </c>
      <c r="P14" s="5" t="s">
        <v>450</v>
      </c>
      <c r="Q14" s="5" t="s">
        <v>451</v>
      </c>
      <c r="R14" s="5" t="s">
        <v>452</v>
      </c>
      <c r="S14" s="18"/>
      <c r="T14" s="9" t="s">
        <v>374</v>
      </c>
    </row>
    <row r="15" ht="34.5" spans="1:20">
      <c r="A15" s="4" t="s">
        <v>453</v>
      </c>
      <c r="B15" s="4" t="s">
        <v>311</v>
      </c>
      <c r="C15" s="4" t="s">
        <v>445</v>
      </c>
      <c r="D15" s="4" t="s">
        <v>454</v>
      </c>
      <c r="E15" s="4" t="s">
        <v>455</v>
      </c>
      <c r="F15" s="10"/>
      <c r="G15" s="10"/>
      <c r="H15" s="10"/>
      <c r="I15" s="4" t="s">
        <v>410</v>
      </c>
      <c r="J15" s="4" t="s">
        <v>367</v>
      </c>
      <c r="K15" s="4" t="s">
        <v>310</v>
      </c>
      <c r="L15" s="20" t="s">
        <v>456</v>
      </c>
      <c r="M15" s="20" t="s">
        <v>457</v>
      </c>
      <c r="N15" s="4" t="s">
        <v>410</v>
      </c>
      <c r="O15" s="4" t="s">
        <v>458</v>
      </c>
      <c r="P15" s="4" t="s">
        <v>291</v>
      </c>
      <c r="Q15" s="4" t="s">
        <v>445</v>
      </c>
      <c r="R15" s="4" t="s">
        <v>459</v>
      </c>
      <c r="S15" s="18"/>
      <c r="T15" s="9" t="s">
        <v>374</v>
      </c>
    </row>
    <row r="16" spans="1:20">
      <c r="A16" s="5" t="s">
        <v>460</v>
      </c>
      <c r="B16" s="5" t="s">
        <v>228</v>
      </c>
      <c r="C16" s="5" t="s">
        <v>445</v>
      </c>
      <c r="D16" s="5" t="s">
        <v>231</v>
      </c>
      <c r="E16" s="5" t="s">
        <v>461</v>
      </c>
      <c r="F16" s="13"/>
      <c r="G16" s="13"/>
      <c r="H16" s="13"/>
      <c r="I16" s="5" t="s">
        <v>410</v>
      </c>
      <c r="J16" s="5" t="s">
        <v>367</v>
      </c>
      <c r="K16" s="5" t="s">
        <v>226</v>
      </c>
      <c r="L16" s="21" t="s">
        <v>230</v>
      </c>
      <c r="M16" s="5" t="s">
        <v>448</v>
      </c>
      <c r="N16" s="5" t="s">
        <v>410</v>
      </c>
      <c r="O16" s="5" t="s">
        <v>449</v>
      </c>
      <c r="P16" s="5" t="s">
        <v>450</v>
      </c>
      <c r="Q16" s="5" t="s">
        <v>445</v>
      </c>
      <c r="R16" s="5" t="s">
        <v>462</v>
      </c>
      <c r="S16" s="18"/>
      <c r="T16" s="9" t="s">
        <v>374</v>
      </c>
    </row>
    <row r="17" ht="23" spans="1:20">
      <c r="A17" s="4" t="s">
        <v>463</v>
      </c>
      <c r="B17" s="4" t="s">
        <v>464</v>
      </c>
      <c r="C17" s="4" t="s">
        <v>465</v>
      </c>
      <c r="D17" s="4" t="s">
        <v>466</v>
      </c>
      <c r="E17" s="4" t="s">
        <v>467</v>
      </c>
      <c r="F17" s="10"/>
      <c r="G17" s="10"/>
      <c r="H17" s="10"/>
      <c r="I17" s="4" t="s">
        <v>468</v>
      </c>
      <c r="J17" s="4" t="s">
        <v>367</v>
      </c>
      <c r="K17" s="4" t="s">
        <v>109</v>
      </c>
      <c r="L17" s="20" t="s">
        <v>469</v>
      </c>
      <c r="M17" s="4" t="s">
        <v>470</v>
      </c>
      <c r="N17" s="4" t="s">
        <v>470</v>
      </c>
      <c r="O17" s="4" t="s">
        <v>471</v>
      </c>
      <c r="P17" s="4" t="s">
        <v>472</v>
      </c>
      <c r="Q17" s="4" t="s">
        <v>473</v>
      </c>
      <c r="R17" s="4" t="s">
        <v>474</v>
      </c>
      <c r="S17" s="18"/>
      <c r="T17" s="9" t="s">
        <v>374</v>
      </c>
    </row>
    <row r="18" ht="23" spans="1:20">
      <c r="A18" s="5" t="s">
        <v>475</v>
      </c>
      <c r="B18" s="5" t="s">
        <v>476</v>
      </c>
      <c r="C18" s="5" t="s">
        <v>465</v>
      </c>
      <c r="D18" s="5" t="s">
        <v>466</v>
      </c>
      <c r="E18" s="5" t="s">
        <v>467</v>
      </c>
      <c r="F18" s="13"/>
      <c r="G18" s="13"/>
      <c r="H18" s="13"/>
      <c r="I18" s="5" t="s">
        <v>477</v>
      </c>
      <c r="J18" s="5" t="s">
        <v>367</v>
      </c>
      <c r="K18" s="5" t="s">
        <v>109</v>
      </c>
      <c r="L18" s="21" t="s">
        <v>478</v>
      </c>
      <c r="M18" s="5" t="s">
        <v>470</v>
      </c>
      <c r="N18" s="5" t="s">
        <v>470</v>
      </c>
      <c r="O18" s="5" t="s">
        <v>471</v>
      </c>
      <c r="P18" s="5" t="s">
        <v>472</v>
      </c>
      <c r="Q18" s="5" t="s">
        <v>479</v>
      </c>
      <c r="R18" s="5" t="s">
        <v>474</v>
      </c>
      <c r="S18" s="18"/>
      <c r="T18" s="9" t="s">
        <v>374</v>
      </c>
    </row>
    <row r="19" ht="23" spans="1:20">
      <c r="A19" s="4" t="s">
        <v>480</v>
      </c>
      <c r="B19" s="4" t="s">
        <v>481</v>
      </c>
      <c r="C19" s="4" t="s">
        <v>482</v>
      </c>
      <c r="D19" s="4" t="s">
        <v>483</v>
      </c>
      <c r="E19" s="4" t="s">
        <v>484</v>
      </c>
      <c r="F19" s="10"/>
      <c r="G19" s="10"/>
      <c r="H19" s="10"/>
      <c r="I19" s="4" t="s">
        <v>485</v>
      </c>
      <c r="J19" s="4" t="s">
        <v>367</v>
      </c>
      <c r="K19" s="4" t="s">
        <v>43</v>
      </c>
      <c r="L19" s="20" t="s">
        <v>49</v>
      </c>
      <c r="M19" s="4" t="s">
        <v>448</v>
      </c>
      <c r="N19" s="4" t="s">
        <v>410</v>
      </c>
      <c r="O19" s="4" t="s">
        <v>449</v>
      </c>
      <c r="P19" s="4" t="s">
        <v>450</v>
      </c>
      <c r="Q19" s="4" t="s">
        <v>486</v>
      </c>
      <c r="R19" s="4" t="s">
        <v>487</v>
      </c>
      <c r="S19" s="18"/>
      <c r="T19" s="9" t="s">
        <v>374</v>
      </c>
    </row>
    <row r="20" ht="23" spans="1:20">
      <c r="A20" s="5" t="s">
        <v>488</v>
      </c>
      <c r="B20" s="5" t="s">
        <v>489</v>
      </c>
      <c r="C20" s="5" t="s">
        <v>490</v>
      </c>
      <c r="D20" s="5" t="s">
        <v>491</v>
      </c>
      <c r="E20" s="5" t="s">
        <v>492</v>
      </c>
      <c r="F20" s="13"/>
      <c r="G20" s="13"/>
      <c r="H20" s="13"/>
      <c r="I20" s="5" t="s">
        <v>493</v>
      </c>
      <c r="J20" s="5" t="s">
        <v>367</v>
      </c>
      <c r="K20" s="5" t="s">
        <v>494</v>
      </c>
      <c r="L20" s="5" t="s">
        <v>494</v>
      </c>
      <c r="M20" s="5" t="s">
        <v>494</v>
      </c>
      <c r="N20" s="5" t="s">
        <v>495</v>
      </c>
      <c r="O20" s="5" t="s">
        <v>496</v>
      </c>
      <c r="P20" s="5" t="s">
        <v>497</v>
      </c>
      <c r="Q20" s="5" t="s">
        <v>498</v>
      </c>
      <c r="R20" s="5" t="s">
        <v>499</v>
      </c>
      <c r="S20" s="18"/>
      <c r="T20" s="9" t="s">
        <v>374</v>
      </c>
    </row>
  </sheetData>
  <autoFilter xmlns:etc="http://www.wps.cn/officeDocument/2017/etCustomData" ref="A4:T20" etc:filterBottomFollowUsedRange="0">
    <extLst/>
  </autoFilter>
  <conditionalFormatting sqref="O5:O20">
    <cfRule type="expression" dxfId="2" priority="2">
      <formula>ISNUMBER(SEARCH("UNVERIFIED",O5))</formula>
    </cfRule>
  </conditionalFormatting>
  <dataValidations count="1">
    <dataValidation type="list" allowBlank="1" sqref="T5:T20">
      <formula1>"Not started,Requested,Downloaded,Indexed,Blocked"</formula1>
    </dataValidation>
  </dataValidations>
  <hyperlinks>
    <hyperlink ref="L5" r:id="rId1" display="https://arxiv.org/abs/2609.05518"/>
    <hyperlink ref="L6" r:id="rId2" display="https://arxiv.org/abs/2608.17889"/>
    <hyperlink ref="M6" r:id="rId3" display="https://hulx2002.github.io/VisDocAgentBench"/>
    <hyperlink ref="L7" r:id="rId4" display="https://arxiv.org/abs/2508.03644"/>
    <hyperlink ref="M7" r:id="rId5" display="https://double-bench.github.io/"/>
    <hyperlink ref="L8" r:id="rId6" display="https://arxiv.org/abs/2602.12876"/>
    <hyperlink ref="L9" r:id="rId7" display="https://arxiv.org/abs/2104.06039"/>
    <hyperlink ref="M9" r:id="rId8" display="https://github.com/allenai/multimodalqa"/>
    <hyperlink ref="L10" r:id="rId9" display="https://arxiv.org/abs/2505.16470"/>
    <hyperlink ref="M10" r:id="rId10" display="https://mmdocrag.github.io/MMDocRAG/"/>
    <hyperlink ref="L11" r:id="rId11" display="https://arxiv.org/abs/2407.01523"/>
    <hyperlink ref="M11" r:id="rId12" display="https://github.com/mayubo2333/MMLongBench-Doc"/>
    <hyperlink ref="L12" r:id="rId13" display="https://arxiv.org/abs/2412.18424"/>
    <hyperlink ref="M12" r:id="rId14" display="https://github.com/dengc2023/LongDocURL"/>
    <hyperlink ref="L13" r:id="rId15" display="https://arxiv.org/abs/2502.04176"/>
    <hyperlink ref="M13" r:id="rId16" display="https://github.com/MRAMG-Bench/MRAMG"/>
    <hyperlink ref="L14" r:id="rId17" display="https://arxiv.org/abs/2603.05697"/>
    <hyperlink ref="L15" r:id="rId18" display="https://mmsearch-plus.github.io/"/>
    <hyperlink ref="M15" r:id="rId19" display="https://github.com/mmsearch-plus/MMSearch-Plus ; https://huggingface.co/datasets/Cie1/MMSearch-Plus"/>
    <hyperlink ref="L16" r:id="rId20" display="https://arxiv.org/abs/2603.16289"/>
    <hyperlink ref="L17" r:id="rId21" display="https://arxiv.org/abs/2108.00573"/>
    <hyperlink ref="L18" r:id="rId22" display="https://arxiv.org/abs/2011.01060"/>
    <hyperlink ref="L19" r:id="rId23" display="https://arxiv.org/abs/2508.21038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:F25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 outlineLevelCol="5"/>
  <cols>
    <col min="1" max="1" width="9" customWidth="1"/>
    <col min="2" max="2" width="24" customWidth="1"/>
    <col min="3" max="3" width="10" customWidth="1"/>
    <col min="4" max="4" width="22" customWidth="1"/>
    <col min="5" max="5" width="52" customWidth="1"/>
    <col min="6" max="6" width="40" customWidth="1"/>
  </cols>
  <sheetData>
    <row r="1" ht="18" spans="1:6">
      <c r="A1" s="1" t="s">
        <v>17</v>
      </c>
    </row>
    <row r="2" spans="1:6">
      <c r="A2" s="2" t="s">
        <v>500</v>
      </c>
    </row>
    <row r="4" ht="31.5" customHeight="1" spans="1:6">
      <c r="A4" s="3" t="s">
        <v>501</v>
      </c>
      <c r="B4" s="3" t="s">
        <v>352</v>
      </c>
      <c r="C4" s="3" t="s">
        <v>502</v>
      </c>
      <c r="D4" s="3" t="s">
        <v>343</v>
      </c>
      <c r="E4" s="3" t="s">
        <v>503</v>
      </c>
      <c r="F4" s="3" t="s">
        <v>353</v>
      </c>
    </row>
    <row r="5" spans="1:6">
      <c r="A5" s="4" t="s">
        <v>156</v>
      </c>
      <c r="B5" s="4" t="str">
        <f>INDEX(Papers!$B$5:$B$43,MATCH(A5,Papers!$A$5:$A$43,0))</f>
        <v>CrossModalQA</v>
      </c>
      <c r="C5" s="4" t="s">
        <v>362</v>
      </c>
      <c r="D5" s="4" t="str">
        <f>IF(C5="-","(not listed)",INDEX(Datasets!$B$5:$B$20,MATCH(C5,Datasets!$A$5:$A$20,0)))</f>
        <v>CrossModalQA</v>
      </c>
      <c r="E5" s="4" t="s">
        <v>504</v>
      </c>
      <c r="F5" s="4" t="str">
        <f>INDEX(Papers!$G$5:$G$43,MATCH(A5,Papers!$A$5:$A$43,0))</f>
        <v>https://arxiv.org/abs/2609.05518</v>
      </c>
    </row>
    <row r="6" spans="1:6">
      <c r="A6" s="5" t="s">
        <v>123</v>
      </c>
      <c r="B6" s="5" t="str">
        <f>INDEX(Papers!$B$5:$B$43,MATCH(A6,Papers!$A$5:$A$43,0))</f>
        <v>VisDocAgentBench</v>
      </c>
      <c r="C6" s="5" t="s">
        <v>375</v>
      </c>
      <c r="D6" s="5" t="str">
        <f>IF(C6="-","(not listed)",INDEX(Datasets!$B$5:$B$20,MATCH(C6,Datasets!$A$5:$A$20,0)))</f>
        <v>VisDocAgentBench</v>
      </c>
      <c r="E6" s="5" t="s">
        <v>504</v>
      </c>
      <c r="F6" s="5" t="str">
        <f>INDEX(Papers!$G$5:$G$43,MATCH(A6,Papers!$A$5:$A$43,0))</f>
        <v>https://arxiv.org/abs/2608.17889</v>
      </c>
    </row>
    <row r="7" spans="1:6">
      <c r="A7" s="4" t="s">
        <v>133</v>
      </c>
      <c r="B7" s="4" t="str">
        <f>INDEX(Papers!$B$5:$B$43,MATCH(A7,Papers!$A$5:$A$43,0))</f>
        <v>Double-Bench</v>
      </c>
      <c r="C7" s="4" t="s">
        <v>385</v>
      </c>
      <c r="D7" s="4" t="str">
        <f>IF(C7="-","(not listed)",INDEX(Datasets!$B$5:$B$20,MATCH(C7,Datasets!$A$5:$A$20,0)))</f>
        <v>Double-Bench</v>
      </c>
      <c r="E7" s="4" t="s">
        <v>504</v>
      </c>
      <c r="F7" s="4" t="str">
        <f>INDEX(Papers!$G$5:$G$43,MATCH(A7,Papers!$A$5:$A$43,0))</f>
        <v>https://arxiv.org/abs/2508.03644</v>
      </c>
    </row>
    <row r="8" spans="1:6">
      <c r="A8" s="5" t="s">
        <v>141</v>
      </c>
      <c r="B8" s="5" t="str">
        <f>INDEX(Papers!$B$5:$B$43,MATCH(A8,Papers!$A$5:$A$43,0))</f>
        <v>BrowseComp-V3</v>
      </c>
      <c r="C8" s="5" t="s">
        <v>394</v>
      </c>
      <c r="D8" s="5" t="str">
        <f>IF(C8="-","(not listed)",INDEX(Datasets!$B$5:$B$20,MATCH(C8,Datasets!$A$5:$A$20,0)))</f>
        <v>BrowseComp-V3</v>
      </c>
      <c r="E8" s="5" t="s">
        <v>504</v>
      </c>
      <c r="F8" s="5" t="str">
        <f>INDEX(Papers!$G$5:$G$43,MATCH(A8,Papers!$A$5:$A$43,0))</f>
        <v>https://arxiv.org/abs/2602.12876</v>
      </c>
    </row>
    <row r="9" spans="1:6">
      <c r="A9" s="4" t="s">
        <v>165</v>
      </c>
      <c r="B9" s="4" t="str">
        <f>INDEX(Papers!$B$5:$B$43,MATCH(A9,Papers!$A$5:$A$43,0))</f>
        <v>MultimodalQA</v>
      </c>
      <c r="C9" s="4" t="s">
        <v>404</v>
      </c>
      <c r="D9" s="4" t="str">
        <f>IF(C9="-","(not listed)",INDEX(Datasets!$B$5:$B$20,MATCH(C9,Datasets!$A$5:$A$20,0)))</f>
        <v>MultimodalQA</v>
      </c>
      <c r="E9" s="4" t="s">
        <v>504</v>
      </c>
      <c r="F9" s="4" t="str">
        <f>INDEX(Papers!$G$5:$G$43,MATCH(A9,Papers!$A$5:$A$43,0))</f>
        <v>https://arxiv.org/abs/2104.06039</v>
      </c>
    </row>
    <row r="10" spans="1:6">
      <c r="A10" s="5" t="s">
        <v>283</v>
      </c>
      <c r="B10" s="5" t="str">
        <f>INDEX(Papers!$B$5:$B$43,MATCH(A10,Papers!$A$5:$A$43,0))</f>
        <v>MMDocRAG</v>
      </c>
      <c r="C10" s="5" t="s">
        <v>415</v>
      </c>
      <c r="D10" s="5" t="str">
        <f>IF(C10="-","(not listed)",INDEX(Datasets!$B$5:$B$20,MATCH(C10,Datasets!$A$5:$A$20,0)))</f>
        <v>MMDocRAG</v>
      </c>
      <c r="E10" s="5" t="s">
        <v>504</v>
      </c>
      <c r="F10" s="5" t="str">
        <f>INDEX(Papers!$G$5:$G$43,MATCH(A10,Papers!$A$5:$A$43,0))</f>
        <v>https://arxiv.org/abs/2505.16470</v>
      </c>
    </row>
    <row r="11" spans="1:6">
      <c r="A11" s="4" t="s">
        <v>292</v>
      </c>
      <c r="B11" s="4" t="str">
        <f>INDEX(Papers!$B$5:$B$43,MATCH(A11,Papers!$A$5:$A$43,0))</f>
        <v>MMLongBench-Doc</v>
      </c>
      <c r="C11" s="4" t="s">
        <v>424</v>
      </c>
      <c r="D11" s="4" t="str">
        <f>IF(C11="-","(not listed)",INDEX(Datasets!$B$5:$B$20,MATCH(C11,Datasets!$A$5:$A$20,0)))</f>
        <v>MMLongBench-Doc</v>
      </c>
      <c r="E11" s="4" t="s">
        <v>504</v>
      </c>
      <c r="F11" s="4" t="str">
        <f>INDEX(Papers!$G$5:$G$43,MATCH(A11,Papers!$A$5:$A$43,0))</f>
        <v>https://arxiv.org/abs/2407.01523</v>
      </c>
    </row>
    <row r="12" spans="1:6">
      <c r="A12" s="5" t="s">
        <v>298</v>
      </c>
      <c r="B12" s="5" t="str">
        <f>INDEX(Papers!$B$5:$B$43,MATCH(A12,Papers!$A$5:$A$43,0))</f>
        <v>LongDocURL</v>
      </c>
      <c r="C12" s="5" t="s">
        <v>430</v>
      </c>
      <c r="D12" s="5" t="str">
        <f>IF(C12="-","(not listed)",INDEX(Datasets!$B$5:$B$20,MATCH(C12,Datasets!$A$5:$A$20,0)))</f>
        <v>LongDocURL</v>
      </c>
      <c r="E12" s="5" t="s">
        <v>504</v>
      </c>
      <c r="F12" s="5" t="str">
        <f>INDEX(Papers!$G$5:$G$43,MATCH(A12,Papers!$A$5:$A$43,0))</f>
        <v>https://arxiv.org/abs/2412.18424</v>
      </c>
    </row>
    <row r="13" spans="1:6">
      <c r="A13" s="4" t="s">
        <v>303</v>
      </c>
      <c r="B13" s="4" t="str">
        <f>INDEX(Papers!$B$5:$B$43,MATCH(A13,Papers!$A$5:$A$43,0))</f>
        <v>MRAMG-Bench</v>
      </c>
      <c r="C13" s="4" t="s">
        <v>437</v>
      </c>
      <c r="D13" s="4" t="str">
        <f>IF(C13="-","(not listed)",INDEX(Datasets!$B$5:$B$20,MATCH(C13,Datasets!$A$5:$A$20,0)))</f>
        <v>MRAMG-Bench</v>
      </c>
      <c r="E13" s="4" t="s">
        <v>504</v>
      </c>
      <c r="F13" s="4" t="str">
        <f>INDEX(Papers!$G$5:$G$43,MATCH(A13,Papers!$A$5:$A$43,0))</f>
        <v>https://arxiv.org/abs/2502.04176</v>
      </c>
    </row>
    <row r="14" spans="1:6">
      <c r="A14" s="5" t="s">
        <v>149</v>
      </c>
      <c r="B14" s="5" t="str">
        <f>INDEX(Papers!$B$5:$B$43,MATCH(A14,Papers!$A$5:$A$43,0))</f>
        <v>MultiHaystack</v>
      </c>
      <c r="C14" s="5" t="s">
        <v>444</v>
      </c>
      <c r="D14" s="5" t="str">
        <f>IF(C14="-","(not listed)",INDEX(Datasets!$B$5:$B$20,MATCH(C14,Datasets!$A$5:$A$20,0)))</f>
        <v>MultiHaystack</v>
      </c>
      <c r="E14" s="5" t="s">
        <v>504</v>
      </c>
      <c r="F14" s="5" t="str">
        <f>INDEX(Papers!$G$5:$G$43,MATCH(A14,Papers!$A$5:$A$43,0))</f>
        <v>https://arxiv.org/abs/2603.05697</v>
      </c>
    </row>
    <row r="15" spans="1:6">
      <c r="A15" s="4" t="s">
        <v>310</v>
      </c>
      <c r="B15" s="4" t="str">
        <f>INDEX(Papers!$B$5:$B$43,MATCH(A15,Papers!$A$5:$A$43,0))</f>
        <v>MMSearch-Plus</v>
      </c>
      <c r="C15" s="4" t="s">
        <v>453</v>
      </c>
      <c r="D15" s="4" t="str">
        <f>IF(C15="-","(not listed)",INDEX(Datasets!$B$5:$B$20,MATCH(C15,Datasets!$A$5:$A$20,0)))</f>
        <v>MMSearch-Plus</v>
      </c>
      <c r="E15" s="4" t="s">
        <v>504</v>
      </c>
      <c r="F15" s="4" t="str">
        <f>INDEX(Papers!$G$5:$G$43,MATCH(A15,Papers!$A$5:$A$43,0))</f>
        <v>https://github.com/mmsearch-plus/MMSearch-Plus</v>
      </c>
    </row>
    <row r="16" spans="1:6">
      <c r="A16" s="5" t="s">
        <v>226</v>
      </c>
      <c r="B16" s="5" t="str">
        <f>INDEX(Papers!$B$5:$B$43,MATCH(A16,Papers!$A$5:$A$43,0))</f>
        <v>VisBrowse</v>
      </c>
      <c r="C16" s="5" t="s">
        <v>460</v>
      </c>
      <c r="D16" s="5" t="str">
        <f>IF(C16="-","(not listed)",INDEX(Datasets!$B$5:$B$20,MATCH(C16,Datasets!$A$5:$A$20,0)))</f>
        <v>VisBrowse-Bench</v>
      </c>
      <c r="E16" s="5" t="s">
        <v>504</v>
      </c>
      <c r="F16" s="5" t="str">
        <f>INDEX(Papers!$G$5:$G$43,MATCH(A16,Papers!$A$5:$A$43,0))</f>
        <v>https://arxiv.org/abs/2603.16289</v>
      </c>
    </row>
    <row r="17" spans="1:6">
      <c r="A17" s="4" t="s">
        <v>43</v>
      </c>
      <c r="B17" s="4" t="str">
        <f>INDEX(Papers!$B$5:$B$43,MATCH(A17,Papers!$A$5:$A$43,0))</f>
        <v>LIMIT</v>
      </c>
      <c r="C17" s="4" t="s">
        <v>480</v>
      </c>
      <c r="D17" s="4" t="str">
        <f>IF(C17="-","(not listed)",INDEX(Datasets!$B$5:$B$20,MATCH(C17,Datasets!$A$5:$A$20,0)))</f>
        <v>LIMIT dataset</v>
      </c>
      <c r="E17" s="4" t="s">
        <v>504</v>
      </c>
      <c r="F17" s="4" t="str">
        <f>INDEX(Papers!$G$5:$G$43,MATCH(A17,Papers!$A$5:$A$43,0))</f>
        <v>https://arxiv.org/abs/2508.21038</v>
      </c>
    </row>
    <row r="18" spans="1:6">
      <c r="A18" s="5" t="s">
        <v>109</v>
      </c>
      <c r="B18" s="5" t="str">
        <f>INDEX(Papers!$B$5:$B$43,MATCH(A18,Papers!$A$5:$A$43,0))</f>
        <v>Iterative RAG vs ideal evidence</v>
      </c>
      <c r="C18" s="5" t="s">
        <v>463</v>
      </c>
      <c r="D18" s="5" t="str">
        <f>IF(C18="-","(not listed)",INDEX(Datasets!$B$5:$B$20,MATCH(C18,Datasets!$A$5:$A$20,0)))</f>
        <v>MuSiQue</v>
      </c>
      <c r="E18" s="5" t="s">
        <v>505</v>
      </c>
      <c r="F18" s="5" t="str">
        <f>INDEX(Papers!$G$5:$G$43,MATCH(A18,Papers!$A$5:$A$43,0))</f>
        <v>https://arxiv.org/abs/2601.19827</v>
      </c>
    </row>
    <row r="19" spans="1:6">
      <c r="A19" s="4" t="s">
        <v>109</v>
      </c>
      <c r="B19" s="4" t="str">
        <f>INDEX(Papers!$B$5:$B$43,MATCH(A19,Papers!$A$5:$A$43,0))</f>
        <v>Iterative RAG vs ideal evidence</v>
      </c>
      <c r="C19" s="4" t="s">
        <v>475</v>
      </c>
      <c r="D19" s="4" t="str">
        <f>IF(C19="-","(not listed)",INDEX(Datasets!$B$5:$B$20,MATCH(C19,Datasets!$A$5:$A$20,0)))</f>
        <v>2WikiMultiHopQA</v>
      </c>
      <c r="E19" s="4" t="s">
        <v>506</v>
      </c>
      <c r="F19" s="4" t="str">
        <f>INDEX(Papers!$G$5:$G$43,MATCH(A19,Papers!$A$5:$A$43,0))</f>
        <v>https://arxiv.org/abs/2601.19827</v>
      </c>
    </row>
    <row r="20" ht="23" spans="1:6">
      <c r="A20" s="5" t="s">
        <v>101</v>
      </c>
      <c r="B20" s="5" t="str">
        <f>INDEX(Papers!$B$5:$B$43,MATCH(A20,Papers!$A$5:$A$43,0))</f>
        <v>GraphRAG iterative</v>
      </c>
      <c r="C20" s="5" t="s">
        <v>475</v>
      </c>
      <c r="D20" s="5" t="str">
        <f>IF(C20="-","(not listed)",INDEX(Datasets!$B$5:$B$20,MATCH(C20,Datasets!$A$5:$A$20,0)))</f>
        <v>2WikiMultiHopQA</v>
      </c>
      <c r="E20" s="5" t="s">
        <v>507</v>
      </c>
      <c r="F20" s="5" t="str">
        <f>INDEX(Papers!$G$5:$G$43,MATCH(A20,Papers!$A$5:$A$43,0))</f>
        <v>https://arxiv.org/abs/2509.25530</v>
      </c>
    </row>
    <row r="21" spans="1:6">
      <c r="A21" s="4" t="s">
        <v>87</v>
      </c>
      <c r="B21" s="4" t="str">
        <f>INDEX(Papers!$B$5:$B$43,MATCH(A21,Papers!$A$5:$A$43,0))</f>
        <v>HybridDeepSearcher</v>
      </c>
      <c r="C21" s="4" t="s">
        <v>494</v>
      </c>
      <c r="D21" s="4" t="str">
        <f>IF(C21="-","(not listed)",INDEX(Datasets!$B$5:$B$20,MATCH(C21,Datasets!$A$5:$A$20,0)))</f>
        <v>(not listed)</v>
      </c>
      <c r="E21" s="4" t="s">
        <v>508</v>
      </c>
      <c r="F21" s="4" t="str">
        <f>INDEX(Papers!$G$5:$G$43,MATCH(A21,Papers!$A$5:$A$43,0))</f>
        <v>https://arxiv.org/abs/2508.19113</v>
      </c>
    </row>
    <row r="22" spans="1:6">
      <c r="A22" s="5" t="s">
        <v>218</v>
      </c>
      <c r="B22" s="5" t="str">
        <f>INDEX(Papers!$B$5:$B$43,MATCH(A22,Papers!$A$5:$A$43,0))</f>
        <v>EvidentialRAG</v>
      </c>
      <c r="C22" s="5" t="s">
        <v>494</v>
      </c>
      <c r="D22" s="5" t="str">
        <f>IF(C22="-","(not listed)",INDEX(Datasets!$B$5:$B$20,MATCH(C22,Datasets!$A$5:$A$20,0)))</f>
        <v>(not listed)</v>
      </c>
      <c r="E22" s="5" t="s">
        <v>509</v>
      </c>
      <c r="F22" s="5" t="str">
        <f>INDEX(Papers!$G$5:$G$43,MATCH(A22,Papers!$A$5:$A$43,0))</f>
        <v>https://arxiv.org/abs/2607.10491</v>
      </c>
    </row>
    <row r="23" spans="1:6">
      <c r="A23" s="4" t="s">
        <v>174</v>
      </c>
      <c r="B23" s="4" t="str">
        <f>INDEX(Papers!$B$5:$B$43,MATCH(A23,Papers!$A$5:$A$43,0))</f>
        <v>CMC-Bench</v>
      </c>
      <c r="C23" s="4" t="s">
        <v>494</v>
      </c>
      <c r="D23" s="4" t="str">
        <f>IF(C23="-","(not listed)",INDEX(Datasets!$B$5:$B$20,MATCH(C23,Datasets!$A$5:$A$20,0)))</f>
        <v>(not listed)</v>
      </c>
      <c r="E23" s="4" t="s">
        <v>510</v>
      </c>
      <c r="F23" s="4" t="str">
        <f>INDEX(Papers!$G$5:$G$43,MATCH(A23,Papers!$A$5:$A$43,0))</f>
        <v>https://aclanthology.org/2026.magmar-main.3/</v>
      </c>
    </row>
    <row r="24" spans="1:6">
      <c r="A24" s="5" t="s">
        <v>79</v>
      </c>
      <c r="B24" s="5" t="str">
        <f>INDEX(Papers!$B$5:$B$43,MATCH(A24,Papers!$A$5:$A$43,0))</f>
        <v>WideSearch</v>
      </c>
      <c r="C24" s="5" t="s">
        <v>494</v>
      </c>
      <c r="D24" s="5" t="str">
        <f>IF(C24="-","(not listed)",INDEX(Datasets!$B$5:$B$20,MATCH(C24,Datasets!$A$5:$A$20,0)))</f>
        <v>(not listed)</v>
      </c>
      <c r="E24" s="5" t="s">
        <v>511</v>
      </c>
      <c r="F24" s="5" t="str">
        <f>INDEX(Papers!$G$5:$G$43,MATCH(A24,Papers!$A$5:$A$43,0))</f>
        <v>https://arxiv.org/abs/2508.07999</v>
      </c>
    </row>
    <row r="25" spans="1:6">
      <c r="A25" s="4" t="s">
        <v>197</v>
      </c>
      <c r="B25" s="4" t="str">
        <f>INDEX(Papers!$B$5:$B$43,MATCH(A25,Papers!$A$5:$A$43,0))</f>
        <v>AgenticRAG-FP</v>
      </c>
      <c r="C25" s="4" t="s">
        <v>494</v>
      </c>
      <c r="D25" s="4" t="str">
        <f>IF(C25="-","(not listed)",INDEX(Datasets!$B$5:$B$20,MATCH(C25,Datasets!$A$5:$A$20,0)))</f>
        <v>(not listed)</v>
      </c>
      <c r="E25" s="4" t="s">
        <v>512</v>
      </c>
      <c r="F25" s="4" t="str">
        <f>INDEX(Papers!$G$5:$G$43,MATCH(A25,Papers!$A$5:$A$43,0))</f>
        <v>https://arxiv.org/abs/2608.20627</v>
      </c>
    </row>
  </sheetData>
  <autoFilter xmlns:etc="http://www.wps.cn/officeDocument/2017/etCustomData" ref="A4:F2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:I13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13" customWidth="1"/>
    <col min="2" max="2" width="7" customWidth="1"/>
    <col min="3" max="3" width="20" customWidth="1"/>
    <col min="4" max="4" width="11" customWidth="1"/>
    <col min="5" max="5" width="34" customWidth="1"/>
    <col min="6" max="6" width="44" customWidth="1"/>
    <col min="7" max="7" width="42" customWidth="1"/>
    <col min="8" max="8" width="13" customWidth="1"/>
    <col min="9" max="9" width="28" customWidth="1"/>
  </cols>
  <sheetData>
    <row r="1" ht="18" spans="1:9">
      <c r="A1" s="1" t="s">
        <v>513</v>
      </c>
    </row>
    <row r="2" spans="1:9">
      <c r="A2" s="2" t="s">
        <v>514</v>
      </c>
    </row>
    <row r="4" ht="31.5" customHeight="1" spans="1:9">
      <c r="A4" s="3" t="s">
        <v>515</v>
      </c>
      <c r="B4" s="3" t="s">
        <v>29</v>
      </c>
      <c r="C4" s="3" t="s">
        <v>343</v>
      </c>
      <c r="D4" s="3" t="s">
        <v>347</v>
      </c>
      <c r="E4" s="3" t="s">
        <v>356</v>
      </c>
      <c r="F4" s="3" t="s">
        <v>516</v>
      </c>
      <c r="G4" s="3" t="s">
        <v>517</v>
      </c>
      <c r="H4" s="3" t="s">
        <v>518</v>
      </c>
      <c r="I4" s="3" t="s">
        <v>41</v>
      </c>
    </row>
    <row r="5" ht="23" spans="1:9">
      <c r="A5" s="4" t="s">
        <v>519</v>
      </c>
      <c r="B5" s="4" t="s">
        <v>362</v>
      </c>
      <c r="C5" s="4" t="str">
        <f>INDEX(Datasets!$B$5:$B$20,MATCH(B5,Datasets!$A$5:$A$20,0))</f>
        <v>CrossModalQA</v>
      </c>
      <c r="D5" s="10">
        <f>INDEX(Datasets!$F$5:$F$20,MATCH(B5,Datasets!$A$5:$A$20,0))</f>
        <v>1863</v>
      </c>
      <c r="E5" s="4" t="str">
        <f>INDEX(Datasets!$O$5:$O$20,MATCH(B5,Datasets!$A$5:$A$20,0))</f>
        <v>UNVERIFIED - no public link found</v>
      </c>
      <c r="F5" s="4" t="s">
        <v>520</v>
      </c>
      <c r="G5" s="4" t="s">
        <v>521</v>
      </c>
      <c r="H5" s="9" t="s">
        <v>374</v>
      </c>
      <c r="I5" s="9"/>
    </row>
    <row r="6" spans="1:9">
      <c r="A6" s="5" t="s">
        <v>522</v>
      </c>
      <c r="B6" s="5" t="s">
        <v>375</v>
      </c>
      <c r="C6" s="5" t="str">
        <f>INDEX(Datasets!$B$5:$B$20,MATCH(B6,Datasets!$A$5:$A$20,0))</f>
        <v>VisDocAgentBench</v>
      </c>
      <c r="D6" s="13">
        <f>INDEX(Datasets!$F$5:$F$20,MATCH(B6,Datasets!$A$5:$A$20,0))</f>
        <v>120</v>
      </c>
      <c r="E6" s="5" t="str">
        <f>INDEX(Datasets!$O$5:$O$20,MATCH(B6,Datasets!$A$5:$A$20,0))</f>
        <v>Public per project page (verify)</v>
      </c>
      <c r="F6" s="5" t="s">
        <v>523</v>
      </c>
      <c r="G6" s="5" t="s">
        <v>524</v>
      </c>
      <c r="H6" s="9" t="s">
        <v>374</v>
      </c>
      <c r="I6" s="9"/>
    </row>
    <row r="7" spans="1:9">
      <c r="A7" s="4" t="s">
        <v>525</v>
      </c>
      <c r="B7" s="4" t="s">
        <v>385</v>
      </c>
      <c r="C7" s="4" t="str">
        <f>INDEX(Datasets!$B$5:$B$20,MATCH(B7,Datasets!$A$5:$A$20,0))</f>
        <v>Double-Bench</v>
      </c>
      <c r="D7" s="10">
        <f>INDEX(Datasets!$F$5:$F$20,MATCH(B7,Datasets!$A$5:$A$20,0))</f>
        <v>5168</v>
      </c>
      <c r="E7" s="4" t="str">
        <f>INDEX(Datasets!$O$5:$O$20,MATCH(B7,Datasets!$A$5:$A$20,0))</f>
        <v>Public (verify download on project site)</v>
      </c>
      <c r="F7" s="4" t="s">
        <v>526</v>
      </c>
      <c r="G7" s="4" t="s">
        <v>527</v>
      </c>
      <c r="H7" s="9" t="s">
        <v>374</v>
      </c>
      <c r="I7" s="9"/>
    </row>
    <row r="8" spans="1:9">
      <c r="A8" s="5" t="s">
        <v>528</v>
      </c>
      <c r="B8" s="5" t="s">
        <v>394</v>
      </c>
      <c r="C8" s="5" t="str">
        <f>INDEX(Datasets!$B$5:$B$20,MATCH(B8,Datasets!$A$5:$A$20,0))</f>
        <v>BrowseComp-V3</v>
      </c>
      <c r="D8" s="13">
        <f>INDEX(Datasets!$F$5:$F$20,MATCH(B8,Datasets!$A$5:$A$20,0))</f>
        <v>300</v>
      </c>
      <c r="E8" s="5" t="str">
        <f>INDEX(Datasets!$O$5:$O$20,MATCH(B8,Datasets!$A$5:$A$20,0))</f>
        <v>Gated/encrypted (re-verify)</v>
      </c>
      <c r="F8" s="5" t="s">
        <v>529</v>
      </c>
      <c r="G8" s="5" t="s">
        <v>530</v>
      </c>
      <c r="H8" s="9" t="s">
        <v>374</v>
      </c>
      <c r="I8" s="9"/>
    </row>
    <row r="9" spans="1:9">
      <c r="A9" s="4" t="s">
        <v>531</v>
      </c>
      <c r="B9" s="4" t="s">
        <v>404</v>
      </c>
      <c r="C9" s="4" t="str">
        <f>INDEX(Datasets!$B$5:$B$20,MATCH(B9,Datasets!$A$5:$A$20,0))</f>
        <v>MultimodalQA</v>
      </c>
      <c r="D9" s="10">
        <f>INDEX(Datasets!$F$5:$F$20,MATCH(B9,Datasets!$A$5:$A$20,0))</f>
        <v>29918</v>
      </c>
      <c r="E9" s="4" t="str">
        <f>INDEX(Datasets!$O$5:$O$20,MATCH(B9,Datasets!$A$5:$A$20,0))</f>
        <v>Public (repo not re-verified)</v>
      </c>
      <c r="F9" s="4" t="s">
        <v>532</v>
      </c>
      <c r="G9" s="4" t="s">
        <v>533</v>
      </c>
      <c r="H9" s="9" t="s">
        <v>374</v>
      </c>
      <c r="I9" s="9"/>
    </row>
    <row r="10" spans="1:9">
      <c r="A10" s="5" t="s">
        <v>465</v>
      </c>
      <c r="B10" s="5" t="s">
        <v>463</v>
      </c>
      <c r="C10" s="5" t="str">
        <f>INDEX(Datasets!$B$5:$B$20,MATCH(B10,Datasets!$A$5:$A$20,0))</f>
        <v>MuSiQue</v>
      </c>
      <c r="D10" s="13">
        <f>INDEX(Datasets!$F$5:$F$20,MATCH(B10,Datasets!$A$5:$A$20,0))</f>
        <v>0</v>
      </c>
      <c r="E10" s="5" t="str">
        <f>INDEX(Datasets!$O$5:$O$20,MATCH(B10,Datasets!$A$5:$A$20,0))</f>
        <v>Public (background knowledge)</v>
      </c>
      <c r="F10" s="5" t="s">
        <v>534</v>
      </c>
      <c r="G10" s="5" t="s">
        <v>535</v>
      </c>
      <c r="H10" s="9" t="s">
        <v>374</v>
      </c>
      <c r="I10" s="9"/>
    </row>
    <row r="11" spans="1:9">
      <c r="A11" s="4" t="s">
        <v>536</v>
      </c>
      <c r="B11" s="4" t="s">
        <v>488</v>
      </c>
      <c r="C11" s="4" t="str">
        <f>INDEX(Datasets!$B$5:$B$20,MATCH(B11,Datasets!$A$5:$A$20,0))</f>
        <v>Own annotation layer</v>
      </c>
      <c r="D11" s="10">
        <f>INDEX(Datasets!$F$5:$F$20,MATCH(B11,Datasets!$A$5:$A$20,0))</f>
        <v>0</v>
      </c>
      <c r="E11" s="4" t="str">
        <f>INDEX(Datasets!$O$5:$O$20,MATCH(B11,Datasets!$A$5:$A$20,0))</f>
        <v>Private</v>
      </c>
      <c r="F11" s="4" t="s">
        <v>537</v>
      </c>
      <c r="G11" s="4" t="s">
        <v>538</v>
      </c>
      <c r="H11" s="9" t="s">
        <v>374</v>
      </c>
      <c r="I11" s="9"/>
    </row>
    <row r="13" spans="1:9">
      <c r="A13" s="2" t="s">
        <v>539</v>
      </c>
    </row>
  </sheetData>
  <autoFilter xmlns:etc="http://www.wps.cn/officeDocument/2017/etCustomData" ref="A4:I11" etc:filterBottomFollowUsedRange="0">
    <extLst/>
  </autoFilter>
  <dataValidations count="1">
    <dataValidation type="list" sqref="H5:H11">
      <formula1>"Not started,Requested,Obtained,Annotated,Blocked"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:T20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D10" sqref="D10"/>
    </sheetView>
  </sheetViews>
  <sheetFormatPr defaultColWidth="8.68181818181818" defaultRowHeight="14.5"/>
  <cols>
    <col min="1" max="1" width="13" customWidth="1"/>
    <col min="2" max="2" width="9" customWidth="1"/>
    <col min="3" max="3" width="8" customWidth="1"/>
    <col min="4" max="7" width="9" customWidth="1"/>
    <col min="8" max="8" width="12" customWidth="1"/>
    <col min="9" max="9" width="11" customWidth="1"/>
    <col min="10" max="10" width="14" customWidth="1"/>
    <col min="11" max="11" width="11" customWidth="1"/>
    <col min="12" max="12" width="12" customWidth="1"/>
    <col min="13" max="14" width="10" customWidth="1"/>
    <col min="15" max="15" width="9" customWidth="1"/>
    <col min="16" max="16" width="22" customWidth="1"/>
    <col min="17" max="17" width="24" customWidth="1"/>
    <col min="20" max="20" width="30" customWidth="1"/>
  </cols>
  <sheetData>
    <row r="1" ht="18" spans="1:20">
      <c r="A1" s="1" t="s">
        <v>540</v>
      </c>
    </row>
    <row r="2" spans="1:20">
      <c r="A2" s="2" t="s">
        <v>541</v>
      </c>
    </row>
    <row r="4" ht="31.5" customHeight="1" spans="1:20">
      <c r="A4" s="3" t="s">
        <v>542</v>
      </c>
      <c r="B4" s="3" t="s">
        <v>502</v>
      </c>
      <c r="C4" s="3" t="s">
        <v>543</v>
      </c>
      <c r="D4" s="3" t="s">
        <v>544</v>
      </c>
      <c r="E4" s="3" t="s">
        <v>545</v>
      </c>
      <c r="F4" s="3" t="s">
        <v>546</v>
      </c>
      <c r="G4" s="3" t="s">
        <v>547</v>
      </c>
      <c r="H4" s="3" t="s">
        <v>548</v>
      </c>
      <c r="I4" s="3" t="s">
        <v>549</v>
      </c>
      <c r="J4" s="3" t="s">
        <v>550</v>
      </c>
      <c r="K4" s="3" t="s">
        <v>551</v>
      </c>
      <c r="L4" s="3" t="s">
        <v>552</v>
      </c>
      <c r="M4" s="3" t="s">
        <v>553</v>
      </c>
      <c r="N4" s="3" t="s">
        <v>554</v>
      </c>
      <c r="O4" s="3" t="s">
        <v>555</v>
      </c>
      <c r="P4" s="3" t="s">
        <v>556</v>
      </c>
      <c r="Q4" s="3" t="s">
        <v>557</v>
      </c>
      <c r="T4" s="15" t="s">
        <v>558</v>
      </c>
    </row>
    <row r="5" spans="1:20">
      <c r="A5" s="9" t="s">
        <v>559</v>
      </c>
      <c r="B5" s="9" t="s">
        <v>362</v>
      </c>
      <c r="C5" s="9">
        <v>3</v>
      </c>
      <c r="D5" s="9">
        <v>1</v>
      </c>
      <c r="E5" s="9">
        <v>1</v>
      </c>
      <c r="F5" s="9">
        <v>1</v>
      </c>
      <c r="G5" s="9">
        <v>0</v>
      </c>
      <c r="H5" s="4">
        <f t="shared" ref="H5:H68" si="0">IF(A5="","",E5+F5)</f>
        <v>2</v>
      </c>
      <c r="I5" s="4" t="str">
        <f t="shared" ref="I5:I68" si="1">IF(A5="","",IF(D5+E5+F5+G5=C5,"OK","CHECK"))</f>
        <v>OK</v>
      </c>
      <c r="J5" s="18">
        <v>3.2</v>
      </c>
      <c r="K5" s="9">
        <v>128</v>
      </c>
      <c r="L5" s="9" t="s">
        <v>560</v>
      </c>
      <c r="M5" s="9">
        <v>3</v>
      </c>
      <c r="N5" s="9">
        <v>3</v>
      </c>
      <c r="O5" s="4" t="str">
        <f t="shared" ref="O5:O68" si="2">IF(OR(M5="",N5=""),"",IF(M5=N5,"Yes","No"))</f>
        <v>Yes</v>
      </c>
      <c r="P5" s="9" t="s">
        <v>561</v>
      </c>
      <c r="Q5" s="9" t="s">
        <v>562</v>
      </c>
      <c r="T5" s="19">
        <f>IF(COUNTIF(O5:O204,"Yes")+COUNTIF(O5:O204,"No")=0,"",COUNTIF(O5:O204,"Yes")/(COUNTIF(O5:O204,"Yes")+COUNTIF(O5:O204,"No")))</f>
        <v>1</v>
      </c>
    </row>
    <row r="6" spans="1:20">
      <c r="A6" s="9"/>
      <c r="B6" s="9"/>
      <c r="C6" s="9"/>
      <c r="D6" s="9"/>
      <c r="E6" s="9"/>
      <c r="F6" s="9"/>
      <c r="G6" s="9"/>
      <c r="H6" s="5" t="str">
        <f t="shared" si="0"/>
        <v/>
      </c>
      <c r="I6" s="5" t="str">
        <f t="shared" si="1"/>
        <v/>
      </c>
      <c r="J6" s="9"/>
      <c r="K6" s="9"/>
      <c r="L6" s="9"/>
      <c r="M6" s="9"/>
      <c r="N6" s="9"/>
      <c r="O6" s="5" t="str">
        <f t="shared" si="2"/>
        <v/>
      </c>
      <c r="P6" s="9"/>
      <c r="Q6" s="9"/>
    </row>
    <row r="7" spans="1:20">
      <c r="A7" s="9"/>
      <c r="B7" s="9"/>
      <c r="C7" s="9"/>
      <c r="D7" s="9"/>
      <c r="E7" s="9"/>
      <c r="F7" s="9"/>
      <c r="G7" s="9"/>
      <c r="H7" s="4" t="str">
        <f t="shared" si="0"/>
        <v/>
      </c>
      <c r="I7" s="4" t="str">
        <f t="shared" si="1"/>
        <v/>
      </c>
      <c r="J7" s="9"/>
      <c r="K7" s="9"/>
      <c r="L7" s="9"/>
      <c r="M7" s="9"/>
      <c r="N7" s="9"/>
      <c r="O7" s="4" t="str">
        <f t="shared" si="2"/>
        <v/>
      </c>
      <c r="P7" s="9"/>
      <c r="Q7" s="9"/>
    </row>
    <row r="8" spans="1:20">
      <c r="A8" s="9"/>
      <c r="B8" s="9"/>
      <c r="C8" s="9"/>
      <c r="D8" s="9"/>
      <c r="E8" s="9"/>
      <c r="F8" s="9"/>
      <c r="G8" s="9"/>
      <c r="H8" s="5" t="str">
        <f t="shared" si="0"/>
        <v/>
      </c>
      <c r="I8" s="5" t="str">
        <f t="shared" si="1"/>
        <v/>
      </c>
      <c r="J8" s="9"/>
      <c r="K8" s="9"/>
      <c r="L8" s="9"/>
      <c r="M8" s="9"/>
      <c r="N8" s="9"/>
      <c r="O8" s="5" t="str">
        <f t="shared" si="2"/>
        <v/>
      </c>
      <c r="P8" s="9"/>
      <c r="Q8" s="9"/>
    </row>
    <row r="9" spans="1:20">
      <c r="A9" s="9"/>
      <c r="B9" s="9"/>
      <c r="C9" s="9"/>
      <c r="D9" s="9"/>
      <c r="E9" s="9"/>
      <c r="F9" s="9"/>
      <c r="G9" s="9"/>
      <c r="H9" s="4" t="str">
        <f t="shared" si="0"/>
        <v/>
      </c>
      <c r="I9" s="4" t="str">
        <f t="shared" si="1"/>
        <v/>
      </c>
      <c r="J9" s="9"/>
      <c r="K9" s="9"/>
      <c r="L9" s="9"/>
      <c r="M9" s="9"/>
      <c r="N9" s="9"/>
      <c r="O9" s="4" t="str">
        <f t="shared" si="2"/>
        <v/>
      </c>
      <c r="P9" s="9"/>
      <c r="Q9" s="9"/>
    </row>
    <row r="10" spans="1:20">
      <c r="A10" s="9"/>
      <c r="B10" s="9"/>
      <c r="C10" s="9"/>
      <c r="D10" s="9"/>
      <c r="E10" s="9"/>
      <c r="F10" s="9"/>
      <c r="G10" s="9"/>
      <c r="H10" s="5" t="str">
        <f t="shared" si="0"/>
        <v/>
      </c>
      <c r="I10" s="5" t="str">
        <f t="shared" si="1"/>
        <v/>
      </c>
      <c r="J10" s="9"/>
      <c r="K10" s="9"/>
      <c r="L10" s="9"/>
      <c r="M10" s="9"/>
      <c r="N10" s="9"/>
      <c r="O10" s="5" t="str">
        <f t="shared" si="2"/>
        <v/>
      </c>
      <c r="P10" s="9"/>
      <c r="Q10" s="9"/>
    </row>
    <row r="11" spans="1:20">
      <c r="A11" s="9"/>
      <c r="B11" s="9"/>
      <c r="C11" s="9"/>
      <c r="D11" s="9"/>
      <c r="E11" s="9"/>
      <c r="F11" s="9"/>
      <c r="G11" s="9"/>
      <c r="H11" s="4" t="str">
        <f t="shared" si="0"/>
        <v/>
      </c>
      <c r="I11" s="4" t="str">
        <f t="shared" si="1"/>
        <v/>
      </c>
      <c r="J11" s="9"/>
      <c r="K11" s="9"/>
      <c r="L11" s="9"/>
      <c r="M11" s="9"/>
      <c r="N11" s="9"/>
      <c r="O11" s="4" t="str">
        <f t="shared" si="2"/>
        <v/>
      </c>
      <c r="P11" s="9"/>
      <c r="Q11" s="9"/>
    </row>
    <row r="12" spans="1:20">
      <c r="A12" s="9"/>
      <c r="B12" s="9"/>
      <c r="C12" s="9"/>
      <c r="D12" s="9"/>
      <c r="E12" s="9"/>
      <c r="F12" s="9"/>
      <c r="G12" s="9"/>
      <c r="H12" s="5" t="str">
        <f t="shared" si="0"/>
        <v/>
      </c>
      <c r="I12" s="5" t="str">
        <f t="shared" si="1"/>
        <v/>
      </c>
      <c r="J12" s="9"/>
      <c r="K12" s="9"/>
      <c r="L12" s="9"/>
      <c r="M12" s="9"/>
      <c r="N12" s="9"/>
      <c r="O12" s="5" t="str">
        <f t="shared" si="2"/>
        <v/>
      </c>
      <c r="P12" s="9"/>
      <c r="Q12" s="9"/>
    </row>
    <row r="13" spans="1:20">
      <c r="A13" s="9"/>
      <c r="B13" s="9"/>
      <c r="C13" s="9"/>
      <c r="D13" s="9"/>
      <c r="E13" s="9"/>
      <c r="F13" s="9"/>
      <c r="G13" s="9"/>
      <c r="H13" s="4" t="str">
        <f t="shared" si="0"/>
        <v/>
      </c>
      <c r="I13" s="4" t="str">
        <f t="shared" si="1"/>
        <v/>
      </c>
      <c r="J13" s="9"/>
      <c r="K13" s="9"/>
      <c r="L13" s="9"/>
      <c r="M13" s="9"/>
      <c r="N13" s="9"/>
      <c r="O13" s="4" t="str">
        <f t="shared" si="2"/>
        <v/>
      </c>
      <c r="P13" s="9"/>
      <c r="Q13" s="9"/>
    </row>
    <row r="14" spans="1:20">
      <c r="A14" s="9"/>
      <c r="B14" s="9"/>
      <c r="C14" s="9"/>
      <c r="D14" s="9"/>
      <c r="E14" s="9"/>
      <c r="F14" s="9"/>
      <c r="G14" s="9"/>
      <c r="H14" s="5" t="str">
        <f t="shared" si="0"/>
        <v/>
      </c>
      <c r="I14" s="5" t="str">
        <f t="shared" si="1"/>
        <v/>
      </c>
      <c r="J14" s="9"/>
      <c r="K14" s="9"/>
      <c r="L14" s="9"/>
      <c r="M14" s="9"/>
      <c r="N14" s="9"/>
      <c r="O14" s="5" t="str">
        <f t="shared" si="2"/>
        <v/>
      </c>
      <c r="P14" s="9"/>
      <c r="Q14" s="9"/>
    </row>
    <row r="15" spans="1:20">
      <c r="A15" s="9"/>
      <c r="B15" s="9"/>
      <c r="C15" s="9"/>
      <c r="D15" s="9"/>
      <c r="E15" s="9"/>
      <c r="F15" s="9"/>
      <c r="G15" s="9"/>
      <c r="H15" s="4" t="str">
        <f t="shared" si="0"/>
        <v/>
      </c>
      <c r="I15" s="4" t="str">
        <f t="shared" si="1"/>
        <v/>
      </c>
      <c r="J15" s="9"/>
      <c r="K15" s="9"/>
      <c r="L15" s="9"/>
      <c r="M15" s="9"/>
      <c r="N15" s="9"/>
      <c r="O15" s="4" t="str">
        <f t="shared" si="2"/>
        <v/>
      </c>
      <c r="P15" s="9"/>
      <c r="Q15" s="9"/>
    </row>
    <row r="16" spans="1:20">
      <c r="A16" s="9"/>
      <c r="B16" s="9"/>
      <c r="C16" s="9"/>
      <c r="D16" s="9"/>
      <c r="E16" s="9"/>
      <c r="F16" s="9"/>
      <c r="G16" s="9"/>
      <c r="H16" s="5" t="str">
        <f t="shared" si="0"/>
        <v/>
      </c>
      <c r="I16" s="5" t="str">
        <f t="shared" si="1"/>
        <v/>
      </c>
      <c r="J16" s="9"/>
      <c r="K16" s="9"/>
      <c r="L16" s="9"/>
      <c r="M16" s="9"/>
      <c r="N16" s="9"/>
      <c r="O16" s="5" t="str">
        <f t="shared" si="2"/>
        <v/>
      </c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4" t="str">
        <f t="shared" si="0"/>
        <v/>
      </c>
      <c r="I17" s="4" t="str">
        <f t="shared" si="1"/>
        <v/>
      </c>
      <c r="J17" s="9"/>
      <c r="K17" s="9"/>
      <c r="L17" s="9"/>
      <c r="M17" s="9"/>
      <c r="N17" s="9"/>
      <c r="O17" s="4" t="str">
        <f t="shared" si="2"/>
        <v/>
      </c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5" t="str">
        <f t="shared" si="0"/>
        <v/>
      </c>
      <c r="I18" s="5" t="str">
        <f t="shared" si="1"/>
        <v/>
      </c>
      <c r="J18" s="9"/>
      <c r="K18" s="9"/>
      <c r="L18" s="9"/>
      <c r="M18" s="9"/>
      <c r="N18" s="9"/>
      <c r="O18" s="5" t="str">
        <f t="shared" si="2"/>
        <v/>
      </c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4" t="str">
        <f t="shared" si="0"/>
        <v/>
      </c>
      <c r="I19" s="4" t="str">
        <f t="shared" si="1"/>
        <v/>
      </c>
      <c r="J19" s="9"/>
      <c r="K19" s="9"/>
      <c r="L19" s="9"/>
      <c r="M19" s="9"/>
      <c r="N19" s="9"/>
      <c r="O19" s="4" t="str">
        <f t="shared" si="2"/>
        <v/>
      </c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5" t="str">
        <f t="shared" si="0"/>
        <v/>
      </c>
      <c r="I20" s="5" t="str">
        <f t="shared" si="1"/>
        <v/>
      </c>
      <c r="J20" s="9"/>
      <c r="K20" s="9"/>
      <c r="L20" s="9"/>
      <c r="M20" s="9"/>
      <c r="N20" s="9"/>
      <c r="O20" s="5" t="str">
        <f t="shared" si="2"/>
        <v/>
      </c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4" t="str">
        <f t="shared" si="0"/>
        <v/>
      </c>
      <c r="I21" s="4" t="str">
        <f t="shared" si="1"/>
        <v/>
      </c>
      <c r="J21" s="9"/>
      <c r="K21" s="9"/>
      <c r="L21" s="9"/>
      <c r="M21" s="9"/>
      <c r="N21" s="9"/>
      <c r="O21" s="4" t="str">
        <f t="shared" si="2"/>
        <v/>
      </c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5" t="str">
        <f t="shared" si="0"/>
        <v/>
      </c>
      <c r="I22" s="5" t="str">
        <f t="shared" si="1"/>
        <v/>
      </c>
      <c r="J22" s="9"/>
      <c r="K22" s="9"/>
      <c r="L22" s="9"/>
      <c r="M22" s="9"/>
      <c r="N22" s="9"/>
      <c r="O22" s="5" t="str">
        <f t="shared" si="2"/>
        <v/>
      </c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4" t="str">
        <f t="shared" si="0"/>
        <v/>
      </c>
      <c r="I23" s="4" t="str">
        <f t="shared" si="1"/>
        <v/>
      </c>
      <c r="J23" s="9"/>
      <c r="K23" s="9"/>
      <c r="L23" s="9"/>
      <c r="M23" s="9"/>
      <c r="N23" s="9"/>
      <c r="O23" s="4" t="str">
        <f t="shared" si="2"/>
        <v/>
      </c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5" t="str">
        <f t="shared" si="0"/>
        <v/>
      </c>
      <c r="I24" s="5" t="str">
        <f t="shared" si="1"/>
        <v/>
      </c>
      <c r="J24" s="9"/>
      <c r="K24" s="9"/>
      <c r="L24" s="9"/>
      <c r="M24" s="9"/>
      <c r="N24" s="9"/>
      <c r="O24" s="5" t="str">
        <f t="shared" si="2"/>
        <v/>
      </c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4" t="str">
        <f t="shared" si="0"/>
        <v/>
      </c>
      <c r="I25" s="4" t="str">
        <f t="shared" si="1"/>
        <v/>
      </c>
      <c r="J25" s="9"/>
      <c r="K25" s="9"/>
      <c r="L25" s="9"/>
      <c r="M25" s="9"/>
      <c r="N25" s="9"/>
      <c r="O25" s="4" t="str">
        <f t="shared" si="2"/>
        <v/>
      </c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5" t="str">
        <f t="shared" si="0"/>
        <v/>
      </c>
      <c r="I26" s="5" t="str">
        <f t="shared" si="1"/>
        <v/>
      </c>
      <c r="J26" s="9"/>
      <c r="K26" s="9"/>
      <c r="L26" s="9"/>
      <c r="M26" s="9"/>
      <c r="N26" s="9"/>
      <c r="O26" s="5" t="str">
        <f t="shared" si="2"/>
        <v/>
      </c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4" t="str">
        <f t="shared" si="0"/>
        <v/>
      </c>
      <c r="I27" s="4" t="str">
        <f t="shared" si="1"/>
        <v/>
      </c>
      <c r="J27" s="9"/>
      <c r="K27" s="9"/>
      <c r="L27" s="9"/>
      <c r="M27" s="9"/>
      <c r="N27" s="9"/>
      <c r="O27" s="4" t="str">
        <f t="shared" si="2"/>
        <v/>
      </c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5" t="str">
        <f t="shared" si="0"/>
        <v/>
      </c>
      <c r="I28" s="5" t="str">
        <f t="shared" si="1"/>
        <v/>
      </c>
      <c r="J28" s="9"/>
      <c r="K28" s="9"/>
      <c r="L28" s="9"/>
      <c r="M28" s="9"/>
      <c r="N28" s="9"/>
      <c r="O28" s="5" t="str">
        <f t="shared" si="2"/>
        <v/>
      </c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4" t="str">
        <f t="shared" si="0"/>
        <v/>
      </c>
      <c r="I29" s="4" t="str">
        <f t="shared" si="1"/>
        <v/>
      </c>
      <c r="J29" s="9"/>
      <c r="K29" s="9"/>
      <c r="L29" s="9"/>
      <c r="M29" s="9"/>
      <c r="N29" s="9"/>
      <c r="O29" s="4" t="str">
        <f t="shared" si="2"/>
        <v/>
      </c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5" t="str">
        <f t="shared" si="0"/>
        <v/>
      </c>
      <c r="I30" s="5" t="str">
        <f t="shared" si="1"/>
        <v/>
      </c>
      <c r="J30" s="9"/>
      <c r="K30" s="9"/>
      <c r="L30" s="9"/>
      <c r="M30" s="9"/>
      <c r="N30" s="9"/>
      <c r="O30" s="5" t="str">
        <f t="shared" si="2"/>
        <v/>
      </c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4" t="str">
        <f t="shared" si="0"/>
        <v/>
      </c>
      <c r="I31" s="4" t="str">
        <f t="shared" si="1"/>
        <v/>
      </c>
      <c r="J31" s="9"/>
      <c r="K31" s="9"/>
      <c r="L31" s="9"/>
      <c r="M31" s="9"/>
      <c r="N31" s="9"/>
      <c r="O31" s="4" t="str">
        <f t="shared" si="2"/>
        <v/>
      </c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5" t="str">
        <f t="shared" si="0"/>
        <v/>
      </c>
      <c r="I32" s="5" t="str">
        <f t="shared" si="1"/>
        <v/>
      </c>
      <c r="J32" s="9"/>
      <c r="K32" s="9"/>
      <c r="L32" s="9"/>
      <c r="M32" s="9"/>
      <c r="N32" s="9"/>
      <c r="O32" s="5" t="str">
        <f t="shared" si="2"/>
        <v/>
      </c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4" t="str">
        <f t="shared" si="0"/>
        <v/>
      </c>
      <c r="I33" s="4" t="str">
        <f t="shared" si="1"/>
        <v/>
      </c>
      <c r="J33" s="9"/>
      <c r="K33" s="9"/>
      <c r="L33" s="9"/>
      <c r="M33" s="9"/>
      <c r="N33" s="9"/>
      <c r="O33" s="4" t="str">
        <f t="shared" si="2"/>
        <v/>
      </c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5" t="str">
        <f t="shared" si="0"/>
        <v/>
      </c>
      <c r="I34" s="5" t="str">
        <f t="shared" si="1"/>
        <v/>
      </c>
      <c r="J34" s="9"/>
      <c r="K34" s="9"/>
      <c r="L34" s="9"/>
      <c r="M34" s="9"/>
      <c r="N34" s="9"/>
      <c r="O34" s="5" t="str">
        <f t="shared" si="2"/>
        <v/>
      </c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4" t="str">
        <f t="shared" si="0"/>
        <v/>
      </c>
      <c r="I35" s="4" t="str">
        <f t="shared" si="1"/>
        <v/>
      </c>
      <c r="J35" s="9"/>
      <c r="K35" s="9"/>
      <c r="L35" s="9"/>
      <c r="M35" s="9"/>
      <c r="N35" s="9"/>
      <c r="O35" s="4" t="str">
        <f t="shared" si="2"/>
        <v/>
      </c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5" t="str">
        <f t="shared" si="0"/>
        <v/>
      </c>
      <c r="I36" s="5" t="str">
        <f t="shared" si="1"/>
        <v/>
      </c>
      <c r="J36" s="9"/>
      <c r="K36" s="9"/>
      <c r="L36" s="9"/>
      <c r="M36" s="9"/>
      <c r="N36" s="9"/>
      <c r="O36" s="5" t="str">
        <f t="shared" si="2"/>
        <v/>
      </c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4" t="str">
        <f t="shared" si="0"/>
        <v/>
      </c>
      <c r="I37" s="4" t="str">
        <f t="shared" si="1"/>
        <v/>
      </c>
      <c r="J37" s="9"/>
      <c r="K37" s="9"/>
      <c r="L37" s="9"/>
      <c r="M37" s="9"/>
      <c r="N37" s="9"/>
      <c r="O37" s="4" t="str">
        <f t="shared" si="2"/>
        <v/>
      </c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5" t="str">
        <f t="shared" si="0"/>
        <v/>
      </c>
      <c r="I38" s="5" t="str">
        <f t="shared" si="1"/>
        <v/>
      </c>
      <c r="J38" s="9"/>
      <c r="K38" s="9"/>
      <c r="L38" s="9"/>
      <c r="M38" s="9"/>
      <c r="N38" s="9"/>
      <c r="O38" s="5" t="str">
        <f t="shared" si="2"/>
        <v/>
      </c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4" t="str">
        <f t="shared" si="0"/>
        <v/>
      </c>
      <c r="I39" s="4" t="str">
        <f t="shared" si="1"/>
        <v/>
      </c>
      <c r="J39" s="9"/>
      <c r="K39" s="9"/>
      <c r="L39" s="9"/>
      <c r="M39" s="9"/>
      <c r="N39" s="9"/>
      <c r="O39" s="4" t="str">
        <f t="shared" si="2"/>
        <v/>
      </c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5" t="str">
        <f t="shared" si="0"/>
        <v/>
      </c>
      <c r="I40" s="5" t="str">
        <f t="shared" si="1"/>
        <v/>
      </c>
      <c r="J40" s="9"/>
      <c r="K40" s="9"/>
      <c r="L40" s="9"/>
      <c r="M40" s="9"/>
      <c r="N40" s="9"/>
      <c r="O40" s="5" t="str">
        <f t="shared" si="2"/>
        <v/>
      </c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4" t="str">
        <f t="shared" si="0"/>
        <v/>
      </c>
      <c r="I41" s="4" t="str">
        <f t="shared" si="1"/>
        <v/>
      </c>
      <c r="J41" s="9"/>
      <c r="K41" s="9"/>
      <c r="L41" s="9"/>
      <c r="M41" s="9"/>
      <c r="N41" s="9"/>
      <c r="O41" s="4" t="str">
        <f t="shared" si="2"/>
        <v/>
      </c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5" t="str">
        <f t="shared" si="0"/>
        <v/>
      </c>
      <c r="I42" s="5" t="str">
        <f t="shared" si="1"/>
        <v/>
      </c>
      <c r="J42" s="9"/>
      <c r="K42" s="9"/>
      <c r="L42" s="9"/>
      <c r="M42" s="9"/>
      <c r="N42" s="9"/>
      <c r="O42" s="5" t="str">
        <f t="shared" si="2"/>
        <v/>
      </c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4" t="str">
        <f t="shared" si="0"/>
        <v/>
      </c>
      <c r="I43" s="4" t="str">
        <f t="shared" si="1"/>
        <v/>
      </c>
      <c r="J43" s="9"/>
      <c r="K43" s="9"/>
      <c r="L43" s="9"/>
      <c r="M43" s="9"/>
      <c r="N43" s="9"/>
      <c r="O43" s="4" t="str">
        <f t="shared" si="2"/>
        <v/>
      </c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5" t="str">
        <f t="shared" si="0"/>
        <v/>
      </c>
      <c r="I44" s="5" t="str">
        <f t="shared" si="1"/>
        <v/>
      </c>
      <c r="J44" s="9"/>
      <c r="K44" s="9"/>
      <c r="L44" s="9"/>
      <c r="M44" s="9"/>
      <c r="N44" s="9"/>
      <c r="O44" s="5" t="str">
        <f t="shared" si="2"/>
        <v/>
      </c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4" t="str">
        <f t="shared" si="0"/>
        <v/>
      </c>
      <c r="I45" s="4" t="str">
        <f t="shared" si="1"/>
        <v/>
      </c>
      <c r="J45" s="9"/>
      <c r="K45" s="9"/>
      <c r="L45" s="9"/>
      <c r="M45" s="9"/>
      <c r="N45" s="9"/>
      <c r="O45" s="4" t="str">
        <f t="shared" si="2"/>
        <v/>
      </c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5" t="str">
        <f t="shared" si="0"/>
        <v/>
      </c>
      <c r="I46" s="5" t="str">
        <f t="shared" si="1"/>
        <v/>
      </c>
      <c r="J46" s="9"/>
      <c r="K46" s="9"/>
      <c r="L46" s="9"/>
      <c r="M46" s="9"/>
      <c r="N46" s="9"/>
      <c r="O46" s="5" t="str">
        <f t="shared" si="2"/>
        <v/>
      </c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4" t="str">
        <f t="shared" si="0"/>
        <v/>
      </c>
      <c r="I47" s="4" t="str">
        <f t="shared" si="1"/>
        <v/>
      </c>
      <c r="J47" s="9"/>
      <c r="K47" s="9"/>
      <c r="L47" s="9"/>
      <c r="M47" s="9"/>
      <c r="N47" s="9"/>
      <c r="O47" s="4" t="str">
        <f t="shared" si="2"/>
        <v/>
      </c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5" t="str">
        <f t="shared" si="0"/>
        <v/>
      </c>
      <c r="I48" s="5" t="str">
        <f t="shared" si="1"/>
        <v/>
      </c>
      <c r="J48" s="9"/>
      <c r="K48" s="9"/>
      <c r="L48" s="9"/>
      <c r="M48" s="9"/>
      <c r="N48" s="9"/>
      <c r="O48" s="5" t="str">
        <f t="shared" si="2"/>
        <v/>
      </c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4" t="str">
        <f t="shared" si="0"/>
        <v/>
      </c>
      <c r="I49" s="4" t="str">
        <f t="shared" si="1"/>
        <v/>
      </c>
      <c r="J49" s="9"/>
      <c r="K49" s="9"/>
      <c r="L49" s="9"/>
      <c r="M49" s="9"/>
      <c r="N49" s="9"/>
      <c r="O49" s="4" t="str">
        <f t="shared" si="2"/>
        <v/>
      </c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5" t="str">
        <f t="shared" si="0"/>
        <v/>
      </c>
      <c r="I50" s="5" t="str">
        <f t="shared" si="1"/>
        <v/>
      </c>
      <c r="J50" s="9"/>
      <c r="K50" s="9"/>
      <c r="L50" s="9"/>
      <c r="M50" s="9"/>
      <c r="N50" s="9"/>
      <c r="O50" s="5" t="str">
        <f t="shared" si="2"/>
        <v/>
      </c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4" t="str">
        <f t="shared" si="0"/>
        <v/>
      </c>
      <c r="I51" s="4" t="str">
        <f t="shared" si="1"/>
        <v/>
      </c>
      <c r="J51" s="9"/>
      <c r="K51" s="9"/>
      <c r="L51" s="9"/>
      <c r="M51" s="9"/>
      <c r="N51" s="9"/>
      <c r="O51" s="4" t="str">
        <f t="shared" si="2"/>
        <v/>
      </c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5" t="str">
        <f t="shared" si="0"/>
        <v/>
      </c>
      <c r="I52" s="5" t="str">
        <f t="shared" si="1"/>
        <v/>
      </c>
      <c r="J52" s="9"/>
      <c r="K52" s="9"/>
      <c r="L52" s="9"/>
      <c r="M52" s="9"/>
      <c r="N52" s="9"/>
      <c r="O52" s="5" t="str">
        <f t="shared" si="2"/>
        <v/>
      </c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4" t="str">
        <f t="shared" si="0"/>
        <v/>
      </c>
      <c r="I53" s="4" t="str">
        <f t="shared" si="1"/>
        <v/>
      </c>
      <c r="J53" s="9"/>
      <c r="K53" s="9"/>
      <c r="L53" s="9"/>
      <c r="M53" s="9"/>
      <c r="N53" s="9"/>
      <c r="O53" s="4" t="str">
        <f t="shared" si="2"/>
        <v/>
      </c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5" t="str">
        <f t="shared" si="0"/>
        <v/>
      </c>
      <c r="I54" s="5" t="str">
        <f t="shared" si="1"/>
        <v/>
      </c>
      <c r="J54" s="9"/>
      <c r="K54" s="9"/>
      <c r="L54" s="9"/>
      <c r="M54" s="9"/>
      <c r="N54" s="9"/>
      <c r="O54" s="5" t="str">
        <f t="shared" si="2"/>
        <v/>
      </c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4" t="str">
        <f t="shared" si="0"/>
        <v/>
      </c>
      <c r="I55" s="4" t="str">
        <f t="shared" si="1"/>
        <v/>
      </c>
      <c r="J55" s="9"/>
      <c r="K55" s="9"/>
      <c r="L55" s="9"/>
      <c r="M55" s="9"/>
      <c r="N55" s="9"/>
      <c r="O55" s="4" t="str">
        <f t="shared" si="2"/>
        <v/>
      </c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5" t="str">
        <f t="shared" si="0"/>
        <v/>
      </c>
      <c r="I56" s="5" t="str">
        <f t="shared" si="1"/>
        <v/>
      </c>
      <c r="J56" s="9"/>
      <c r="K56" s="9"/>
      <c r="L56" s="9"/>
      <c r="M56" s="9"/>
      <c r="N56" s="9"/>
      <c r="O56" s="5" t="str">
        <f t="shared" si="2"/>
        <v/>
      </c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4" t="str">
        <f t="shared" si="0"/>
        <v/>
      </c>
      <c r="I57" s="4" t="str">
        <f t="shared" si="1"/>
        <v/>
      </c>
      <c r="J57" s="9"/>
      <c r="K57" s="9"/>
      <c r="L57" s="9"/>
      <c r="M57" s="9"/>
      <c r="N57" s="9"/>
      <c r="O57" s="4" t="str">
        <f t="shared" si="2"/>
        <v/>
      </c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5" t="str">
        <f t="shared" si="0"/>
        <v/>
      </c>
      <c r="I58" s="5" t="str">
        <f t="shared" si="1"/>
        <v/>
      </c>
      <c r="J58" s="9"/>
      <c r="K58" s="9"/>
      <c r="L58" s="9"/>
      <c r="M58" s="9"/>
      <c r="N58" s="9"/>
      <c r="O58" s="5" t="str">
        <f t="shared" si="2"/>
        <v/>
      </c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4" t="str">
        <f t="shared" si="0"/>
        <v/>
      </c>
      <c r="I59" s="4" t="str">
        <f t="shared" si="1"/>
        <v/>
      </c>
      <c r="J59" s="9"/>
      <c r="K59" s="9"/>
      <c r="L59" s="9"/>
      <c r="M59" s="9"/>
      <c r="N59" s="9"/>
      <c r="O59" s="4" t="str">
        <f t="shared" si="2"/>
        <v/>
      </c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5" t="str">
        <f t="shared" si="0"/>
        <v/>
      </c>
      <c r="I60" s="5" t="str">
        <f t="shared" si="1"/>
        <v/>
      </c>
      <c r="J60" s="9"/>
      <c r="K60" s="9"/>
      <c r="L60" s="9"/>
      <c r="M60" s="9"/>
      <c r="N60" s="9"/>
      <c r="O60" s="5" t="str">
        <f t="shared" si="2"/>
        <v/>
      </c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4" t="str">
        <f t="shared" si="0"/>
        <v/>
      </c>
      <c r="I61" s="4" t="str">
        <f t="shared" si="1"/>
        <v/>
      </c>
      <c r="J61" s="9"/>
      <c r="K61" s="9"/>
      <c r="L61" s="9"/>
      <c r="M61" s="9"/>
      <c r="N61" s="9"/>
      <c r="O61" s="4" t="str">
        <f t="shared" si="2"/>
        <v/>
      </c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5" t="str">
        <f t="shared" si="0"/>
        <v/>
      </c>
      <c r="I62" s="5" t="str">
        <f t="shared" si="1"/>
        <v/>
      </c>
      <c r="J62" s="9"/>
      <c r="K62" s="9"/>
      <c r="L62" s="9"/>
      <c r="M62" s="9"/>
      <c r="N62" s="9"/>
      <c r="O62" s="5" t="str">
        <f t="shared" si="2"/>
        <v/>
      </c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4" t="str">
        <f t="shared" si="0"/>
        <v/>
      </c>
      <c r="I63" s="4" t="str">
        <f t="shared" si="1"/>
        <v/>
      </c>
      <c r="J63" s="9"/>
      <c r="K63" s="9"/>
      <c r="L63" s="9"/>
      <c r="M63" s="9"/>
      <c r="N63" s="9"/>
      <c r="O63" s="4" t="str">
        <f t="shared" si="2"/>
        <v/>
      </c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5" t="str">
        <f t="shared" si="0"/>
        <v/>
      </c>
      <c r="I64" s="5" t="str">
        <f t="shared" si="1"/>
        <v/>
      </c>
      <c r="J64" s="9"/>
      <c r="K64" s="9"/>
      <c r="L64" s="9"/>
      <c r="M64" s="9"/>
      <c r="N64" s="9"/>
      <c r="O64" s="5" t="str">
        <f t="shared" si="2"/>
        <v/>
      </c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4" t="str">
        <f t="shared" si="0"/>
        <v/>
      </c>
      <c r="I65" s="4" t="str">
        <f t="shared" si="1"/>
        <v/>
      </c>
      <c r="J65" s="9"/>
      <c r="K65" s="9"/>
      <c r="L65" s="9"/>
      <c r="M65" s="9"/>
      <c r="N65" s="9"/>
      <c r="O65" s="4" t="str">
        <f t="shared" si="2"/>
        <v/>
      </c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5" t="str">
        <f t="shared" si="0"/>
        <v/>
      </c>
      <c r="I66" s="5" t="str">
        <f t="shared" si="1"/>
        <v/>
      </c>
      <c r="J66" s="9"/>
      <c r="K66" s="9"/>
      <c r="L66" s="9"/>
      <c r="M66" s="9"/>
      <c r="N66" s="9"/>
      <c r="O66" s="5" t="str">
        <f t="shared" si="2"/>
        <v/>
      </c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4" t="str">
        <f t="shared" si="0"/>
        <v/>
      </c>
      <c r="I67" s="4" t="str">
        <f t="shared" si="1"/>
        <v/>
      </c>
      <c r="J67" s="9"/>
      <c r="K67" s="9"/>
      <c r="L67" s="9"/>
      <c r="M67" s="9"/>
      <c r="N67" s="9"/>
      <c r="O67" s="4" t="str">
        <f t="shared" si="2"/>
        <v/>
      </c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5" t="str">
        <f t="shared" si="0"/>
        <v/>
      </c>
      <c r="I68" s="5" t="str">
        <f t="shared" si="1"/>
        <v/>
      </c>
      <c r="J68" s="9"/>
      <c r="K68" s="9"/>
      <c r="L68" s="9"/>
      <c r="M68" s="9"/>
      <c r="N68" s="9"/>
      <c r="O68" s="5" t="str">
        <f t="shared" si="2"/>
        <v/>
      </c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4" t="str">
        <f t="shared" ref="H69:H132" si="3">IF(A69="","",E69+F69)</f>
        <v/>
      </c>
      <c r="I69" s="4" t="str">
        <f t="shared" ref="I69:I132" si="4">IF(A69="","",IF(D69+E69+F69+G69=C69,"OK","CHECK"))</f>
        <v/>
      </c>
      <c r="J69" s="9"/>
      <c r="K69" s="9"/>
      <c r="L69" s="9"/>
      <c r="M69" s="9"/>
      <c r="N69" s="9"/>
      <c r="O69" s="4" t="str">
        <f t="shared" ref="O69:O132" si="5">IF(OR(M69="",N69=""),"",IF(M69=N69,"Yes","No"))</f>
        <v/>
      </c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5" t="str">
        <f t="shared" si="3"/>
        <v/>
      </c>
      <c r="I70" s="5" t="str">
        <f t="shared" si="4"/>
        <v/>
      </c>
      <c r="J70" s="9"/>
      <c r="K70" s="9"/>
      <c r="L70" s="9"/>
      <c r="M70" s="9"/>
      <c r="N70" s="9"/>
      <c r="O70" s="5" t="str">
        <f t="shared" si="5"/>
        <v/>
      </c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4" t="str">
        <f t="shared" si="3"/>
        <v/>
      </c>
      <c r="I71" s="4" t="str">
        <f t="shared" si="4"/>
        <v/>
      </c>
      <c r="J71" s="9"/>
      <c r="K71" s="9"/>
      <c r="L71" s="9"/>
      <c r="M71" s="9"/>
      <c r="N71" s="9"/>
      <c r="O71" s="4" t="str">
        <f t="shared" si="5"/>
        <v/>
      </c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5" t="str">
        <f t="shared" si="3"/>
        <v/>
      </c>
      <c r="I72" s="5" t="str">
        <f t="shared" si="4"/>
        <v/>
      </c>
      <c r="J72" s="9"/>
      <c r="K72" s="9"/>
      <c r="L72" s="9"/>
      <c r="M72" s="9"/>
      <c r="N72" s="9"/>
      <c r="O72" s="5" t="str">
        <f t="shared" si="5"/>
        <v/>
      </c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4" t="str">
        <f t="shared" si="3"/>
        <v/>
      </c>
      <c r="I73" s="4" t="str">
        <f t="shared" si="4"/>
        <v/>
      </c>
      <c r="J73" s="9"/>
      <c r="K73" s="9"/>
      <c r="L73" s="9"/>
      <c r="M73" s="9"/>
      <c r="N73" s="9"/>
      <c r="O73" s="4" t="str">
        <f t="shared" si="5"/>
        <v/>
      </c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5" t="str">
        <f t="shared" si="3"/>
        <v/>
      </c>
      <c r="I74" s="5" t="str">
        <f t="shared" si="4"/>
        <v/>
      </c>
      <c r="J74" s="9"/>
      <c r="K74" s="9"/>
      <c r="L74" s="9"/>
      <c r="M74" s="9"/>
      <c r="N74" s="9"/>
      <c r="O74" s="5" t="str">
        <f t="shared" si="5"/>
        <v/>
      </c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4" t="str">
        <f t="shared" si="3"/>
        <v/>
      </c>
      <c r="I75" s="4" t="str">
        <f t="shared" si="4"/>
        <v/>
      </c>
      <c r="J75" s="9"/>
      <c r="K75" s="9"/>
      <c r="L75" s="9"/>
      <c r="M75" s="9"/>
      <c r="N75" s="9"/>
      <c r="O75" s="4" t="str">
        <f t="shared" si="5"/>
        <v/>
      </c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5" t="str">
        <f t="shared" si="3"/>
        <v/>
      </c>
      <c r="I76" s="5" t="str">
        <f t="shared" si="4"/>
        <v/>
      </c>
      <c r="J76" s="9"/>
      <c r="K76" s="9"/>
      <c r="L76" s="9"/>
      <c r="M76" s="9"/>
      <c r="N76" s="9"/>
      <c r="O76" s="5" t="str">
        <f t="shared" si="5"/>
        <v/>
      </c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4" t="str">
        <f t="shared" si="3"/>
        <v/>
      </c>
      <c r="I77" s="4" t="str">
        <f t="shared" si="4"/>
        <v/>
      </c>
      <c r="J77" s="9"/>
      <c r="K77" s="9"/>
      <c r="L77" s="9"/>
      <c r="M77" s="9"/>
      <c r="N77" s="9"/>
      <c r="O77" s="4" t="str">
        <f t="shared" si="5"/>
        <v/>
      </c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5" t="str">
        <f t="shared" si="3"/>
        <v/>
      </c>
      <c r="I78" s="5" t="str">
        <f t="shared" si="4"/>
        <v/>
      </c>
      <c r="J78" s="9"/>
      <c r="K78" s="9"/>
      <c r="L78" s="9"/>
      <c r="M78" s="9"/>
      <c r="N78" s="9"/>
      <c r="O78" s="5" t="str">
        <f t="shared" si="5"/>
        <v/>
      </c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4" t="str">
        <f t="shared" si="3"/>
        <v/>
      </c>
      <c r="I79" s="4" t="str">
        <f t="shared" si="4"/>
        <v/>
      </c>
      <c r="J79" s="9"/>
      <c r="K79" s="9"/>
      <c r="L79" s="9"/>
      <c r="M79" s="9"/>
      <c r="N79" s="9"/>
      <c r="O79" s="4" t="str">
        <f t="shared" si="5"/>
        <v/>
      </c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5" t="str">
        <f t="shared" si="3"/>
        <v/>
      </c>
      <c r="I80" s="5" t="str">
        <f t="shared" si="4"/>
        <v/>
      </c>
      <c r="J80" s="9"/>
      <c r="K80" s="9"/>
      <c r="L80" s="9"/>
      <c r="M80" s="9"/>
      <c r="N80" s="9"/>
      <c r="O80" s="5" t="str">
        <f t="shared" si="5"/>
        <v/>
      </c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4" t="str">
        <f t="shared" si="3"/>
        <v/>
      </c>
      <c r="I81" s="4" t="str">
        <f t="shared" si="4"/>
        <v/>
      </c>
      <c r="J81" s="9"/>
      <c r="K81" s="9"/>
      <c r="L81" s="9"/>
      <c r="M81" s="9"/>
      <c r="N81" s="9"/>
      <c r="O81" s="4" t="str">
        <f t="shared" si="5"/>
        <v/>
      </c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5" t="str">
        <f t="shared" si="3"/>
        <v/>
      </c>
      <c r="I82" s="5" t="str">
        <f t="shared" si="4"/>
        <v/>
      </c>
      <c r="J82" s="9"/>
      <c r="K82" s="9"/>
      <c r="L82" s="9"/>
      <c r="M82" s="9"/>
      <c r="N82" s="9"/>
      <c r="O82" s="5" t="str">
        <f t="shared" si="5"/>
        <v/>
      </c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4" t="str">
        <f t="shared" si="3"/>
        <v/>
      </c>
      <c r="I83" s="4" t="str">
        <f t="shared" si="4"/>
        <v/>
      </c>
      <c r="J83" s="9"/>
      <c r="K83" s="9"/>
      <c r="L83" s="9"/>
      <c r="M83" s="9"/>
      <c r="N83" s="9"/>
      <c r="O83" s="4" t="str">
        <f t="shared" si="5"/>
        <v/>
      </c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5" t="str">
        <f t="shared" si="3"/>
        <v/>
      </c>
      <c r="I84" s="5" t="str">
        <f t="shared" si="4"/>
        <v/>
      </c>
      <c r="J84" s="9"/>
      <c r="K84" s="9"/>
      <c r="L84" s="9"/>
      <c r="M84" s="9"/>
      <c r="N84" s="9"/>
      <c r="O84" s="5" t="str">
        <f t="shared" si="5"/>
        <v/>
      </c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4" t="str">
        <f t="shared" si="3"/>
        <v/>
      </c>
      <c r="I85" s="4" t="str">
        <f t="shared" si="4"/>
        <v/>
      </c>
      <c r="J85" s="9"/>
      <c r="K85" s="9"/>
      <c r="L85" s="9"/>
      <c r="M85" s="9"/>
      <c r="N85" s="9"/>
      <c r="O85" s="4" t="str">
        <f t="shared" si="5"/>
        <v/>
      </c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5" t="str">
        <f t="shared" si="3"/>
        <v/>
      </c>
      <c r="I86" s="5" t="str">
        <f t="shared" si="4"/>
        <v/>
      </c>
      <c r="J86" s="9"/>
      <c r="K86" s="9"/>
      <c r="L86" s="9"/>
      <c r="M86" s="9"/>
      <c r="N86" s="9"/>
      <c r="O86" s="5" t="str">
        <f t="shared" si="5"/>
        <v/>
      </c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4" t="str">
        <f t="shared" si="3"/>
        <v/>
      </c>
      <c r="I87" s="4" t="str">
        <f t="shared" si="4"/>
        <v/>
      </c>
      <c r="J87" s="9"/>
      <c r="K87" s="9"/>
      <c r="L87" s="9"/>
      <c r="M87" s="9"/>
      <c r="N87" s="9"/>
      <c r="O87" s="4" t="str">
        <f t="shared" si="5"/>
        <v/>
      </c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5" t="str">
        <f t="shared" si="3"/>
        <v/>
      </c>
      <c r="I88" s="5" t="str">
        <f t="shared" si="4"/>
        <v/>
      </c>
      <c r="J88" s="9"/>
      <c r="K88" s="9"/>
      <c r="L88" s="9"/>
      <c r="M88" s="9"/>
      <c r="N88" s="9"/>
      <c r="O88" s="5" t="str">
        <f t="shared" si="5"/>
        <v/>
      </c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4" t="str">
        <f t="shared" si="3"/>
        <v/>
      </c>
      <c r="I89" s="4" t="str">
        <f t="shared" si="4"/>
        <v/>
      </c>
      <c r="J89" s="9"/>
      <c r="K89" s="9"/>
      <c r="L89" s="9"/>
      <c r="M89" s="9"/>
      <c r="N89" s="9"/>
      <c r="O89" s="4" t="str">
        <f t="shared" si="5"/>
        <v/>
      </c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5" t="str">
        <f t="shared" si="3"/>
        <v/>
      </c>
      <c r="I90" s="5" t="str">
        <f t="shared" si="4"/>
        <v/>
      </c>
      <c r="J90" s="9"/>
      <c r="K90" s="9"/>
      <c r="L90" s="9"/>
      <c r="M90" s="9"/>
      <c r="N90" s="9"/>
      <c r="O90" s="5" t="str">
        <f t="shared" si="5"/>
        <v/>
      </c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4" t="str">
        <f t="shared" si="3"/>
        <v/>
      </c>
      <c r="I91" s="4" t="str">
        <f t="shared" si="4"/>
        <v/>
      </c>
      <c r="J91" s="9"/>
      <c r="K91" s="9"/>
      <c r="L91" s="9"/>
      <c r="M91" s="9"/>
      <c r="N91" s="9"/>
      <c r="O91" s="4" t="str">
        <f t="shared" si="5"/>
        <v/>
      </c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5" t="str">
        <f t="shared" si="3"/>
        <v/>
      </c>
      <c r="I92" s="5" t="str">
        <f t="shared" si="4"/>
        <v/>
      </c>
      <c r="J92" s="9"/>
      <c r="K92" s="9"/>
      <c r="L92" s="9"/>
      <c r="M92" s="9"/>
      <c r="N92" s="9"/>
      <c r="O92" s="5" t="str">
        <f t="shared" si="5"/>
        <v/>
      </c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4" t="str">
        <f t="shared" si="3"/>
        <v/>
      </c>
      <c r="I93" s="4" t="str">
        <f t="shared" si="4"/>
        <v/>
      </c>
      <c r="J93" s="9"/>
      <c r="K93" s="9"/>
      <c r="L93" s="9"/>
      <c r="M93" s="9"/>
      <c r="N93" s="9"/>
      <c r="O93" s="4" t="str">
        <f t="shared" si="5"/>
        <v/>
      </c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5" t="str">
        <f t="shared" si="3"/>
        <v/>
      </c>
      <c r="I94" s="5" t="str">
        <f t="shared" si="4"/>
        <v/>
      </c>
      <c r="J94" s="9"/>
      <c r="K94" s="9"/>
      <c r="L94" s="9"/>
      <c r="M94" s="9"/>
      <c r="N94" s="9"/>
      <c r="O94" s="5" t="str">
        <f t="shared" si="5"/>
        <v/>
      </c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4" t="str">
        <f t="shared" si="3"/>
        <v/>
      </c>
      <c r="I95" s="4" t="str">
        <f t="shared" si="4"/>
        <v/>
      </c>
      <c r="J95" s="9"/>
      <c r="K95" s="9"/>
      <c r="L95" s="9"/>
      <c r="M95" s="9"/>
      <c r="N95" s="9"/>
      <c r="O95" s="4" t="str">
        <f t="shared" si="5"/>
        <v/>
      </c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5" t="str">
        <f t="shared" si="3"/>
        <v/>
      </c>
      <c r="I96" s="5" t="str">
        <f t="shared" si="4"/>
        <v/>
      </c>
      <c r="J96" s="9"/>
      <c r="K96" s="9"/>
      <c r="L96" s="9"/>
      <c r="M96" s="9"/>
      <c r="N96" s="9"/>
      <c r="O96" s="5" t="str">
        <f t="shared" si="5"/>
        <v/>
      </c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4" t="str">
        <f t="shared" si="3"/>
        <v/>
      </c>
      <c r="I97" s="4" t="str">
        <f t="shared" si="4"/>
        <v/>
      </c>
      <c r="J97" s="9"/>
      <c r="K97" s="9"/>
      <c r="L97" s="9"/>
      <c r="M97" s="9"/>
      <c r="N97" s="9"/>
      <c r="O97" s="4" t="str">
        <f t="shared" si="5"/>
        <v/>
      </c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5" t="str">
        <f t="shared" si="3"/>
        <v/>
      </c>
      <c r="I98" s="5" t="str">
        <f t="shared" si="4"/>
        <v/>
      </c>
      <c r="J98" s="9"/>
      <c r="K98" s="9"/>
      <c r="L98" s="9"/>
      <c r="M98" s="9"/>
      <c r="N98" s="9"/>
      <c r="O98" s="5" t="str">
        <f t="shared" si="5"/>
        <v/>
      </c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4" t="str">
        <f t="shared" si="3"/>
        <v/>
      </c>
      <c r="I99" s="4" t="str">
        <f t="shared" si="4"/>
        <v/>
      </c>
      <c r="J99" s="9"/>
      <c r="K99" s="9"/>
      <c r="L99" s="9"/>
      <c r="M99" s="9"/>
      <c r="N99" s="9"/>
      <c r="O99" s="4" t="str">
        <f t="shared" si="5"/>
        <v/>
      </c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5" t="str">
        <f t="shared" si="3"/>
        <v/>
      </c>
      <c r="I100" s="5" t="str">
        <f t="shared" si="4"/>
        <v/>
      </c>
      <c r="J100" s="9"/>
      <c r="K100" s="9"/>
      <c r="L100" s="9"/>
      <c r="M100" s="9"/>
      <c r="N100" s="9"/>
      <c r="O100" s="5" t="str">
        <f t="shared" si="5"/>
        <v/>
      </c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4" t="str">
        <f t="shared" si="3"/>
        <v/>
      </c>
      <c r="I101" s="4" t="str">
        <f t="shared" si="4"/>
        <v/>
      </c>
      <c r="J101" s="9"/>
      <c r="K101" s="9"/>
      <c r="L101" s="9"/>
      <c r="M101" s="9"/>
      <c r="N101" s="9"/>
      <c r="O101" s="4" t="str">
        <f t="shared" si="5"/>
        <v/>
      </c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5" t="str">
        <f t="shared" si="3"/>
        <v/>
      </c>
      <c r="I102" s="5" t="str">
        <f t="shared" si="4"/>
        <v/>
      </c>
      <c r="J102" s="9"/>
      <c r="K102" s="9"/>
      <c r="L102" s="9"/>
      <c r="M102" s="9"/>
      <c r="N102" s="9"/>
      <c r="O102" s="5" t="str">
        <f t="shared" si="5"/>
        <v/>
      </c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4" t="str">
        <f t="shared" si="3"/>
        <v/>
      </c>
      <c r="I103" s="4" t="str">
        <f t="shared" si="4"/>
        <v/>
      </c>
      <c r="J103" s="9"/>
      <c r="K103" s="9"/>
      <c r="L103" s="9"/>
      <c r="M103" s="9"/>
      <c r="N103" s="9"/>
      <c r="O103" s="4" t="str">
        <f t="shared" si="5"/>
        <v/>
      </c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5" t="str">
        <f t="shared" si="3"/>
        <v/>
      </c>
      <c r="I104" s="5" t="str">
        <f t="shared" si="4"/>
        <v/>
      </c>
      <c r="J104" s="9"/>
      <c r="K104" s="9"/>
      <c r="L104" s="9"/>
      <c r="M104" s="9"/>
      <c r="N104" s="9"/>
      <c r="O104" s="5" t="str">
        <f t="shared" si="5"/>
        <v/>
      </c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4" t="str">
        <f t="shared" si="3"/>
        <v/>
      </c>
      <c r="I105" s="4" t="str">
        <f t="shared" si="4"/>
        <v/>
      </c>
      <c r="J105" s="9"/>
      <c r="K105" s="9"/>
      <c r="L105" s="9"/>
      <c r="M105" s="9"/>
      <c r="N105" s="9"/>
      <c r="O105" s="4" t="str">
        <f t="shared" si="5"/>
        <v/>
      </c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5" t="str">
        <f t="shared" si="3"/>
        <v/>
      </c>
      <c r="I106" s="5" t="str">
        <f t="shared" si="4"/>
        <v/>
      </c>
      <c r="J106" s="9"/>
      <c r="K106" s="9"/>
      <c r="L106" s="9"/>
      <c r="M106" s="9"/>
      <c r="N106" s="9"/>
      <c r="O106" s="5" t="str">
        <f t="shared" si="5"/>
        <v/>
      </c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4" t="str">
        <f t="shared" si="3"/>
        <v/>
      </c>
      <c r="I107" s="4" t="str">
        <f t="shared" si="4"/>
        <v/>
      </c>
      <c r="J107" s="9"/>
      <c r="K107" s="9"/>
      <c r="L107" s="9"/>
      <c r="M107" s="9"/>
      <c r="N107" s="9"/>
      <c r="O107" s="4" t="str">
        <f t="shared" si="5"/>
        <v/>
      </c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5" t="str">
        <f t="shared" si="3"/>
        <v/>
      </c>
      <c r="I108" s="5" t="str">
        <f t="shared" si="4"/>
        <v/>
      </c>
      <c r="J108" s="9"/>
      <c r="K108" s="9"/>
      <c r="L108" s="9"/>
      <c r="M108" s="9"/>
      <c r="N108" s="9"/>
      <c r="O108" s="5" t="str">
        <f t="shared" si="5"/>
        <v/>
      </c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4" t="str">
        <f t="shared" si="3"/>
        <v/>
      </c>
      <c r="I109" s="4" t="str">
        <f t="shared" si="4"/>
        <v/>
      </c>
      <c r="J109" s="9"/>
      <c r="K109" s="9"/>
      <c r="L109" s="9"/>
      <c r="M109" s="9"/>
      <c r="N109" s="9"/>
      <c r="O109" s="4" t="str">
        <f t="shared" si="5"/>
        <v/>
      </c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5" t="str">
        <f t="shared" si="3"/>
        <v/>
      </c>
      <c r="I110" s="5" t="str">
        <f t="shared" si="4"/>
        <v/>
      </c>
      <c r="J110" s="9"/>
      <c r="K110" s="9"/>
      <c r="L110" s="9"/>
      <c r="M110" s="9"/>
      <c r="N110" s="9"/>
      <c r="O110" s="5" t="str">
        <f t="shared" si="5"/>
        <v/>
      </c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4" t="str">
        <f t="shared" si="3"/>
        <v/>
      </c>
      <c r="I111" s="4" t="str">
        <f t="shared" si="4"/>
        <v/>
      </c>
      <c r="J111" s="9"/>
      <c r="K111" s="9"/>
      <c r="L111" s="9"/>
      <c r="M111" s="9"/>
      <c r="N111" s="9"/>
      <c r="O111" s="4" t="str">
        <f t="shared" si="5"/>
        <v/>
      </c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5" t="str">
        <f t="shared" si="3"/>
        <v/>
      </c>
      <c r="I112" s="5" t="str">
        <f t="shared" si="4"/>
        <v/>
      </c>
      <c r="J112" s="9"/>
      <c r="K112" s="9"/>
      <c r="L112" s="9"/>
      <c r="M112" s="9"/>
      <c r="N112" s="9"/>
      <c r="O112" s="5" t="str">
        <f t="shared" si="5"/>
        <v/>
      </c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4" t="str">
        <f t="shared" si="3"/>
        <v/>
      </c>
      <c r="I113" s="4" t="str">
        <f t="shared" si="4"/>
        <v/>
      </c>
      <c r="J113" s="9"/>
      <c r="K113" s="9"/>
      <c r="L113" s="9"/>
      <c r="M113" s="9"/>
      <c r="N113" s="9"/>
      <c r="O113" s="4" t="str">
        <f t="shared" si="5"/>
        <v/>
      </c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5" t="str">
        <f t="shared" si="3"/>
        <v/>
      </c>
      <c r="I114" s="5" t="str">
        <f t="shared" si="4"/>
        <v/>
      </c>
      <c r="J114" s="9"/>
      <c r="K114" s="9"/>
      <c r="L114" s="9"/>
      <c r="M114" s="9"/>
      <c r="N114" s="9"/>
      <c r="O114" s="5" t="str">
        <f t="shared" si="5"/>
        <v/>
      </c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4" t="str">
        <f t="shared" si="3"/>
        <v/>
      </c>
      <c r="I115" s="4" t="str">
        <f t="shared" si="4"/>
        <v/>
      </c>
      <c r="J115" s="9"/>
      <c r="K115" s="9"/>
      <c r="L115" s="9"/>
      <c r="M115" s="9"/>
      <c r="N115" s="9"/>
      <c r="O115" s="4" t="str">
        <f t="shared" si="5"/>
        <v/>
      </c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5" t="str">
        <f t="shared" si="3"/>
        <v/>
      </c>
      <c r="I116" s="5" t="str">
        <f t="shared" si="4"/>
        <v/>
      </c>
      <c r="J116" s="9"/>
      <c r="K116" s="9"/>
      <c r="L116" s="9"/>
      <c r="M116" s="9"/>
      <c r="N116" s="9"/>
      <c r="O116" s="5" t="str">
        <f t="shared" si="5"/>
        <v/>
      </c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4" t="str">
        <f t="shared" si="3"/>
        <v/>
      </c>
      <c r="I117" s="4" t="str">
        <f t="shared" si="4"/>
        <v/>
      </c>
      <c r="J117" s="9"/>
      <c r="K117" s="9"/>
      <c r="L117" s="9"/>
      <c r="M117" s="9"/>
      <c r="N117" s="9"/>
      <c r="O117" s="4" t="str">
        <f t="shared" si="5"/>
        <v/>
      </c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5" t="str">
        <f t="shared" si="3"/>
        <v/>
      </c>
      <c r="I118" s="5" t="str">
        <f t="shared" si="4"/>
        <v/>
      </c>
      <c r="J118" s="9"/>
      <c r="K118" s="9"/>
      <c r="L118" s="9"/>
      <c r="M118" s="9"/>
      <c r="N118" s="9"/>
      <c r="O118" s="5" t="str">
        <f t="shared" si="5"/>
        <v/>
      </c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4" t="str">
        <f t="shared" si="3"/>
        <v/>
      </c>
      <c r="I119" s="4" t="str">
        <f t="shared" si="4"/>
        <v/>
      </c>
      <c r="J119" s="9"/>
      <c r="K119" s="9"/>
      <c r="L119" s="9"/>
      <c r="M119" s="9"/>
      <c r="N119" s="9"/>
      <c r="O119" s="4" t="str">
        <f t="shared" si="5"/>
        <v/>
      </c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5" t="str">
        <f t="shared" si="3"/>
        <v/>
      </c>
      <c r="I120" s="5" t="str">
        <f t="shared" si="4"/>
        <v/>
      </c>
      <c r="J120" s="9"/>
      <c r="K120" s="9"/>
      <c r="L120" s="9"/>
      <c r="M120" s="9"/>
      <c r="N120" s="9"/>
      <c r="O120" s="5" t="str">
        <f t="shared" si="5"/>
        <v/>
      </c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4" t="str">
        <f t="shared" si="3"/>
        <v/>
      </c>
      <c r="I121" s="4" t="str">
        <f t="shared" si="4"/>
        <v/>
      </c>
      <c r="J121" s="9"/>
      <c r="K121" s="9"/>
      <c r="L121" s="9"/>
      <c r="M121" s="9"/>
      <c r="N121" s="9"/>
      <c r="O121" s="4" t="str">
        <f t="shared" si="5"/>
        <v/>
      </c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5" t="str">
        <f t="shared" si="3"/>
        <v/>
      </c>
      <c r="I122" s="5" t="str">
        <f t="shared" si="4"/>
        <v/>
      </c>
      <c r="J122" s="9"/>
      <c r="K122" s="9"/>
      <c r="L122" s="9"/>
      <c r="M122" s="9"/>
      <c r="N122" s="9"/>
      <c r="O122" s="5" t="str">
        <f t="shared" si="5"/>
        <v/>
      </c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4" t="str">
        <f t="shared" si="3"/>
        <v/>
      </c>
      <c r="I123" s="4" t="str">
        <f t="shared" si="4"/>
        <v/>
      </c>
      <c r="J123" s="9"/>
      <c r="K123" s="9"/>
      <c r="L123" s="9"/>
      <c r="M123" s="9"/>
      <c r="N123" s="9"/>
      <c r="O123" s="4" t="str">
        <f t="shared" si="5"/>
        <v/>
      </c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5" t="str">
        <f t="shared" si="3"/>
        <v/>
      </c>
      <c r="I124" s="5" t="str">
        <f t="shared" si="4"/>
        <v/>
      </c>
      <c r="J124" s="9"/>
      <c r="K124" s="9"/>
      <c r="L124" s="9"/>
      <c r="M124" s="9"/>
      <c r="N124" s="9"/>
      <c r="O124" s="5" t="str">
        <f t="shared" si="5"/>
        <v/>
      </c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4" t="str">
        <f t="shared" si="3"/>
        <v/>
      </c>
      <c r="I125" s="4" t="str">
        <f t="shared" si="4"/>
        <v/>
      </c>
      <c r="J125" s="9"/>
      <c r="K125" s="9"/>
      <c r="L125" s="9"/>
      <c r="M125" s="9"/>
      <c r="N125" s="9"/>
      <c r="O125" s="4" t="str">
        <f t="shared" si="5"/>
        <v/>
      </c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5" t="str">
        <f t="shared" si="3"/>
        <v/>
      </c>
      <c r="I126" s="5" t="str">
        <f t="shared" si="4"/>
        <v/>
      </c>
      <c r="J126" s="9"/>
      <c r="K126" s="9"/>
      <c r="L126" s="9"/>
      <c r="M126" s="9"/>
      <c r="N126" s="9"/>
      <c r="O126" s="5" t="str">
        <f t="shared" si="5"/>
        <v/>
      </c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4" t="str">
        <f t="shared" si="3"/>
        <v/>
      </c>
      <c r="I127" s="4" t="str">
        <f t="shared" si="4"/>
        <v/>
      </c>
      <c r="J127" s="9"/>
      <c r="K127" s="9"/>
      <c r="L127" s="9"/>
      <c r="M127" s="9"/>
      <c r="N127" s="9"/>
      <c r="O127" s="4" t="str">
        <f t="shared" si="5"/>
        <v/>
      </c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5" t="str">
        <f t="shared" si="3"/>
        <v/>
      </c>
      <c r="I128" s="5" t="str">
        <f t="shared" si="4"/>
        <v/>
      </c>
      <c r="J128" s="9"/>
      <c r="K128" s="9"/>
      <c r="L128" s="9"/>
      <c r="M128" s="9"/>
      <c r="N128" s="9"/>
      <c r="O128" s="5" t="str">
        <f t="shared" si="5"/>
        <v/>
      </c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4" t="str">
        <f t="shared" si="3"/>
        <v/>
      </c>
      <c r="I129" s="4" t="str">
        <f t="shared" si="4"/>
        <v/>
      </c>
      <c r="J129" s="9"/>
      <c r="K129" s="9"/>
      <c r="L129" s="9"/>
      <c r="M129" s="9"/>
      <c r="N129" s="9"/>
      <c r="O129" s="4" t="str">
        <f t="shared" si="5"/>
        <v/>
      </c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5" t="str">
        <f t="shared" si="3"/>
        <v/>
      </c>
      <c r="I130" s="5" t="str">
        <f t="shared" si="4"/>
        <v/>
      </c>
      <c r="J130" s="9"/>
      <c r="K130" s="9"/>
      <c r="L130" s="9"/>
      <c r="M130" s="9"/>
      <c r="N130" s="9"/>
      <c r="O130" s="5" t="str">
        <f t="shared" si="5"/>
        <v/>
      </c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4" t="str">
        <f t="shared" si="3"/>
        <v/>
      </c>
      <c r="I131" s="4" t="str">
        <f t="shared" si="4"/>
        <v/>
      </c>
      <c r="J131" s="9"/>
      <c r="K131" s="9"/>
      <c r="L131" s="9"/>
      <c r="M131" s="9"/>
      <c r="N131" s="9"/>
      <c r="O131" s="4" t="str">
        <f t="shared" si="5"/>
        <v/>
      </c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5" t="str">
        <f t="shared" si="3"/>
        <v/>
      </c>
      <c r="I132" s="5" t="str">
        <f t="shared" si="4"/>
        <v/>
      </c>
      <c r="J132" s="9"/>
      <c r="K132" s="9"/>
      <c r="L132" s="9"/>
      <c r="M132" s="9"/>
      <c r="N132" s="9"/>
      <c r="O132" s="5" t="str">
        <f t="shared" si="5"/>
        <v/>
      </c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4" t="str">
        <f t="shared" ref="H133:H196" si="6">IF(A133="","",E133+F133)</f>
        <v/>
      </c>
      <c r="I133" s="4" t="str">
        <f t="shared" ref="I133:I196" si="7">IF(A133="","",IF(D133+E133+F133+G133=C133,"OK","CHECK"))</f>
        <v/>
      </c>
      <c r="J133" s="9"/>
      <c r="K133" s="9"/>
      <c r="L133" s="9"/>
      <c r="M133" s="9"/>
      <c r="N133" s="9"/>
      <c r="O133" s="4" t="str">
        <f t="shared" ref="O133:O196" si="8">IF(OR(M133="",N133=""),"",IF(M133=N133,"Yes","No"))</f>
        <v/>
      </c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5" t="str">
        <f t="shared" si="6"/>
        <v/>
      </c>
      <c r="I134" s="5" t="str">
        <f t="shared" si="7"/>
        <v/>
      </c>
      <c r="J134" s="9"/>
      <c r="K134" s="9"/>
      <c r="L134" s="9"/>
      <c r="M134" s="9"/>
      <c r="N134" s="9"/>
      <c r="O134" s="5" t="str">
        <f t="shared" si="8"/>
        <v/>
      </c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4" t="str">
        <f t="shared" si="6"/>
        <v/>
      </c>
      <c r="I135" s="4" t="str">
        <f t="shared" si="7"/>
        <v/>
      </c>
      <c r="J135" s="9"/>
      <c r="K135" s="9"/>
      <c r="L135" s="9"/>
      <c r="M135" s="9"/>
      <c r="N135" s="9"/>
      <c r="O135" s="4" t="str">
        <f t="shared" si="8"/>
        <v/>
      </c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5" t="str">
        <f t="shared" si="6"/>
        <v/>
      </c>
      <c r="I136" s="5" t="str">
        <f t="shared" si="7"/>
        <v/>
      </c>
      <c r="J136" s="9"/>
      <c r="K136" s="9"/>
      <c r="L136" s="9"/>
      <c r="M136" s="9"/>
      <c r="N136" s="9"/>
      <c r="O136" s="5" t="str">
        <f t="shared" si="8"/>
        <v/>
      </c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4" t="str">
        <f t="shared" si="6"/>
        <v/>
      </c>
      <c r="I137" s="4" t="str">
        <f t="shared" si="7"/>
        <v/>
      </c>
      <c r="J137" s="9"/>
      <c r="K137" s="9"/>
      <c r="L137" s="9"/>
      <c r="M137" s="9"/>
      <c r="N137" s="9"/>
      <c r="O137" s="4" t="str">
        <f t="shared" si="8"/>
        <v/>
      </c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5" t="str">
        <f t="shared" si="6"/>
        <v/>
      </c>
      <c r="I138" s="5" t="str">
        <f t="shared" si="7"/>
        <v/>
      </c>
      <c r="J138" s="9"/>
      <c r="K138" s="9"/>
      <c r="L138" s="9"/>
      <c r="M138" s="9"/>
      <c r="N138" s="9"/>
      <c r="O138" s="5" t="str">
        <f t="shared" si="8"/>
        <v/>
      </c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4" t="str">
        <f t="shared" si="6"/>
        <v/>
      </c>
      <c r="I139" s="4" t="str">
        <f t="shared" si="7"/>
        <v/>
      </c>
      <c r="J139" s="9"/>
      <c r="K139" s="9"/>
      <c r="L139" s="9"/>
      <c r="M139" s="9"/>
      <c r="N139" s="9"/>
      <c r="O139" s="4" t="str">
        <f t="shared" si="8"/>
        <v/>
      </c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5" t="str">
        <f t="shared" si="6"/>
        <v/>
      </c>
      <c r="I140" s="5" t="str">
        <f t="shared" si="7"/>
        <v/>
      </c>
      <c r="J140" s="9"/>
      <c r="K140" s="9"/>
      <c r="L140" s="9"/>
      <c r="M140" s="9"/>
      <c r="N140" s="9"/>
      <c r="O140" s="5" t="str">
        <f t="shared" si="8"/>
        <v/>
      </c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4" t="str">
        <f t="shared" si="6"/>
        <v/>
      </c>
      <c r="I141" s="4" t="str">
        <f t="shared" si="7"/>
        <v/>
      </c>
      <c r="J141" s="9"/>
      <c r="K141" s="9"/>
      <c r="L141" s="9"/>
      <c r="M141" s="9"/>
      <c r="N141" s="9"/>
      <c r="O141" s="4" t="str">
        <f t="shared" si="8"/>
        <v/>
      </c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5" t="str">
        <f t="shared" si="6"/>
        <v/>
      </c>
      <c r="I142" s="5" t="str">
        <f t="shared" si="7"/>
        <v/>
      </c>
      <c r="J142" s="9"/>
      <c r="K142" s="9"/>
      <c r="L142" s="9"/>
      <c r="M142" s="9"/>
      <c r="N142" s="9"/>
      <c r="O142" s="5" t="str">
        <f t="shared" si="8"/>
        <v/>
      </c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4" t="str">
        <f t="shared" si="6"/>
        <v/>
      </c>
      <c r="I143" s="4" t="str">
        <f t="shared" si="7"/>
        <v/>
      </c>
      <c r="J143" s="9"/>
      <c r="K143" s="9"/>
      <c r="L143" s="9"/>
      <c r="M143" s="9"/>
      <c r="N143" s="9"/>
      <c r="O143" s="4" t="str">
        <f t="shared" si="8"/>
        <v/>
      </c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5" t="str">
        <f t="shared" si="6"/>
        <v/>
      </c>
      <c r="I144" s="5" t="str">
        <f t="shared" si="7"/>
        <v/>
      </c>
      <c r="J144" s="9"/>
      <c r="K144" s="9"/>
      <c r="L144" s="9"/>
      <c r="M144" s="9"/>
      <c r="N144" s="9"/>
      <c r="O144" s="5" t="str">
        <f t="shared" si="8"/>
        <v/>
      </c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4" t="str">
        <f t="shared" si="6"/>
        <v/>
      </c>
      <c r="I145" s="4" t="str">
        <f t="shared" si="7"/>
        <v/>
      </c>
      <c r="J145" s="9"/>
      <c r="K145" s="9"/>
      <c r="L145" s="9"/>
      <c r="M145" s="9"/>
      <c r="N145" s="9"/>
      <c r="O145" s="4" t="str">
        <f t="shared" si="8"/>
        <v/>
      </c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5" t="str">
        <f t="shared" si="6"/>
        <v/>
      </c>
      <c r="I146" s="5" t="str">
        <f t="shared" si="7"/>
        <v/>
      </c>
      <c r="J146" s="9"/>
      <c r="K146" s="9"/>
      <c r="L146" s="9"/>
      <c r="M146" s="9"/>
      <c r="N146" s="9"/>
      <c r="O146" s="5" t="str">
        <f t="shared" si="8"/>
        <v/>
      </c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4" t="str">
        <f t="shared" si="6"/>
        <v/>
      </c>
      <c r="I147" s="4" t="str">
        <f t="shared" si="7"/>
        <v/>
      </c>
      <c r="J147" s="9"/>
      <c r="K147" s="9"/>
      <c r="L147" s="9"/>
      <c r="M147" s="9"/>
      <c r="N147" s="9"/>
      <c r="O147" s="4" t="str">
        <f t="shared" si="8"/>
        <v/>
      </c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5" t="str">
        <f t="shared" si="6"/>
        <v/>
      </c>
      <c r="I148" s="5" t="str">
        <f t="shared" si="7"/>
        <v/>
      </c>
      <c r="J148" s="9"/>
      <c r="K148" s="9"/>
      <c r="L148" s="9"/>
      <c r="M148" s="9"/>
      <c r="N148" s="9"/>
      <c r="O148" s="5" t="str">
        <f t="shared" si="8"/>
        <v/>
      </c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4" t="str">
        <f t="shared" si="6"/>
        <v/>
      </c>
      <c r="I149" s="4" t="str">
        <f t="shared" si="7"/>
        <v/>
      </c>
      <c r="J149" s="9"/>
      <c r="K149" s="9"/>
      <c r="L149" s="9"/>
      <c r="M149" s="9"/>
      <c r="N149" s="9"/>
      <c r="O149" s="4" t="str">
        <f t="shared" si="8"/>
        <v/>
      </c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5" t="str">
        <f t="shared" si="6"/>
        <v/>
      </c>
      <c r="I150" s="5" t="str">
        <f t="shared" si="7"/>
        <v/>
      </c>
      <c r="J150" s="9"/>
      <c r="K150" s="9"/>
      <c r="L150" s="9"/>
      <c r="M150" s="9"/>
      <c r="N150" s="9"/>
      <c r="O150" s="5" t="str">
        <f t="shared" si="8"/>
        <v/>
      </c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4" t="str">
        <f t="shared" si="6"/>
        <v/>
      </c>
      <c r="I151" s="4" t="str">
        <f t="shared" si="7"/>
        <v/>
      </c>
      <c r="J151" s="9"/>
      <c r="K151" s="9"/>
      <c r="L151" s="9"/>
      <c r="M151" s="9"/>
      <c r="N151" s="9"/>
      <c r="O151" s="4" t="str">
        <f t="shared" si="8"/>
        <v/>
      </c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5" t="str">
        <f t="shared" si="6"/>
        <v/>
      </c>
      <c r="I152" s="5" t="str">
        <f t="shared" si="7"/>
        <v/>
      </c>
      <c r="J152" s="9"/>
      <c r="K152" s="9"/>
      <c r="L152" s="9"/>
      <c r="M152" s="9"/>
      <c r="N152" s="9"/>
      <c r="O152" s="5" t="str">
        <f t="shared" si="8"/>
        <v/>
      </c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4" t="str">
        <f t="shared" si="6"/>
        <v/>
      </c>
      <c r="I153" s="4" t="str">
        <f t="shared" si="7"/>
        <v/>
      </c>
      <c r="J153" s="9"/>
      <c r="K153" s="9"/>
      <c r="L153" s="9"/>
      <c r="M153" s="9"/>
      <c r="N153" s="9"/>
      <c r="O153" s="4" t="str">
        <f t="shared" si="8"/>
        <v/>
      </c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5" t="str">
        <f t="shared" si="6"/>
        <v/>
      </c>
      <c r="I154" s="5" t="str">
        <f t="shared" si="7"/>
        <v/>
      </c>
      <c r="J154" s="9"/>
      <c r="K154" s="9"/>
      <c r="L154" s="9"/>
      <c r="M154" s="9"/>
      <c r="N154" s="9"/>
      <c r="O154" s="5" t="str">
        <f t="shared" si="8"/>
        <v/>
      </c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4" t="str">
        <f t="shared" si="6"/>
        <v/>
      </c>
      <c r="I155" s="4" t="str">
        <f t="shared" si="7"/>
        <v/>
      </c>
      <c r="J155" s="9"/>
      <c r="K155" s="9"/>
      <c r="L155" s="9"/>
      <c r="M155" s="9"/>
      <c r="N155" s="9"/>
      <c r="O155" s="4" t="str">
        <f t="shared" si="8"/>
        <v/>
      </c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5" t="str">
        <f t="shared" si="6"/>
        <v/>
      </c>
      <c r="I156" s="5" t="str">
        <f t="shared" si="7"/>
        <v/>
      </c>
      <c r="J156" s="9"/>
      <c r="K156" s="9"/>
      <c r="L156" s="9"/>
      <c r="M156" s="9"/>
      <c r="N156" s="9"/>
      <c r="O156" s="5" t="str">
        <f t="shared" si="8"/>
        <v/>
      </c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4" t="str">
        <f t="shared" si="6"/>
        <v/>
      </c>
      <c r="I157" s="4" t="str">
        <f t="shared" si="7"/>
        <v/>
      </c>
      <c r="J157" s="9"/>
      <c r="K157" s="9"/>
      <c r="L157" s="9"/>
      <c r="M157" s="9"/>
      <c r="N157" s="9"/>
      <c r="O157" s="4" t="str">
        <f t="shared" si="8"/>
        <v/>
      </c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5" t="str">
        <f t="shared" si="6"/>
        <v/>
      </c>
      <c r="I158" s="5" t="str">
        <f t="shared" si="7"/>
        <v/>
      </c>
      <c r="J158" s="9"/>
      <c r="K158" s="9"/>
      <c r="L158" s="9"/>
      <c r="M158" s="9"/>
      <c r="N158" s="9"/>
      <c r="O158" s="5" t="str">
        <f t="shared" si="8"/>
        <v/>
      </c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4" t="str">
        <f t="shared" si="6"/>
        <v/>
      </c>
      <c r="I159" s="4" t="str">
        <f t="shared" si="7"/>
        <v/>
      </c>
      <c r="J159" s="9"/>
      <c r="K159" s="9"/>
      <c r="L159" s="9"/>
      <c r="M159" s="9"/>
      <c r="N159" s="9"/>
      <c r="O159" s="4" t="str">
        <f t="shared" si="8"/>
        <v/>
      </c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5" t="str">
        <f t="shared" si="6"/>
        <v/>
      </c>
      <c r="I160" s="5" t="str">
        <f t="shared" si="7"/>
        <v/>
      </c>
      <c r="J160" s="9"/>
      <c r="K160" s="9"/>
      <c r="L160" s="9"/>
      <c r="M160" s="9"/>
      <c r="N160" s="9"/>
      <c r="O160" s="5" t="str">
        <f t="shared" si="8"/>
        <v/>
      </c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4" t="str">
        <f t="shared" si="6"/>
        <v/>
      </c>
      <c r="I161" s="4" t="str">
        <f t="shared" si="7"/>
        <v/>
      </c>
      <c r="J161" s="9"/>
      <c r="K161" s="9"/>
      <c r="L161" s="9"/>
      <c r="M161" s="9"/>
      <c r="N161" s="9"/>
      <c r="O161" s="4" t="str">
        <f t="shared" si="8"/>
        <v/>
      </c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5" t="str">
        <f t="shared" si="6"/>
        <v/>
      </c>
      <c r="I162" s="5" t="str">
        <f t="shared" si="7"/>
        <v/>
      </c>
      <c r="J162" s="9"/>
      <c r="K162" s="9"/>
      <c r="L162" s="9"/>
      <c r="M162" s="9"/>
      <c r="N162" s="9"/>
      <c r="O162" s="5" t="str">
        <f t="shared" si="8"/>
        <v/>
      </c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4" t="str">
        <f t="shared" si="6"/>
        <v/>
      </c>
      <c r="I163" s="4" t="str">
        <f t="shared" si="7"/>
        <v/>
      </c>
      <c r="J163" s="9"/>
      <c r="K163" s="9"/>
      <c r="L163" s="9"/>
      <c r="M163" s="9"/>
      <c r="N163" s="9"/>
      <c r="O163" s="4" t="str">
        <f t="shared" si="8"/>
        <v/>
      </c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5" t="str">
        <f t="shared" si="6"/>
        <v/>
      </c>
      <c r="I164" s="5" t="str">
        <f t="shared" si="7"/>
        <v/>
      </c>
      <c r="J164" s="9"/>
      <c r="K164" s="9"/>
      <c r="L164" s="9"/>
      <c r="M164" s="9"/>
      <c r="N164" s="9"/>
      <c r="O164" s="5" t="str">
        <f t="shared" si="8"/>
        <v/>
      </c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4" t="str">
        <f t="shared" si="6"/>
        <v/>
      </c>
      <c r="I165" s="4" t="str">
        <f t="shared" si="7"/>
        <v/>
      </c>
      <c r="J165" s="9"/>
      <c r="K165" s="9"/>
      <c r="L165" s="9"/>
      <c r="M165" s="9"/>
      <c r="N165" s="9"/>
      <c r="O165" s="4" t="str">
        <f t="shared" si="8"/>
        <v/>
      </c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5" t="str">
        <f t="shared" si="6"/>
        <v/>
      </c>
      <c r="I166" s="5" t="str">
        <f t="shared" si="7"/>
        <v/>
      </c>
      <c r="J166" s="9"/>
      <c r="K166" s="9"/>
      <c r="L166" s="9"/>
      <c r="M166" s="9"/>
      <c r="N166" s="9"/>
      <c r="O166" s="5" t="str">
        <f t="shared" si="8"/>
        <v/>
      </c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4" t="str">
        <f t="shared" si="6"/>
        <v/>
      </c>
      <c r="I167" s="4" t="str">
        <f t="shared" si="7"/>
        <v/>
      </c>
      <c r="J167" s="9"/>
      <c r="K167" s="9"/>
      <c r="L167" s="9"/>
      <c r="M167" s="9"/>
      <c r="N167" s="9"/>
      <c r="O167" s="4" t="str">
        <f t="shared" si="8"/>
        <v/>
      </c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5" t="str">
        <f t="shared" si="6"/>
        <v/>
      </c>
      <c r="I168" s="5" t="str">
        <f t="shared" si="7"/>
        <v/>
      </c>
      <c r="J168" s="9"/>
      <c r="K168" s="9"/>
      <c r="L168" s="9"/>
      <c r="M168" s="9"/>
      <c r="N168" s="9"/>
      <c r="O168" s="5" t="str">
        <f t="shared" si="8"/>
        <v/>
      </c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4" t="str">
        <f t="shared" si="6"/>
        <v/>
      </c>
      <c r="I169" s="4" t="str">
        <f t="shared" si="7"/>
        <v/>
      </c>
      <c r="J169" s="9"/>
      <c r="K169" s="9"/>
      <c r="L169" s="9"/>
      <c r="M169" s="9"/>
      <c r="N169" s="9"/>
      <c r="O169" s="4" t="str">
        <f t="shared" si="8"/>
        <v/>
      </c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5" t="str">
        <f t="shared" si="6"/>
        <v/>
      </c>
      <c r="I170" s="5" t="str">
        <f t="shared" si="7"/>
        <v/>
      </c>
      <c r="J170" s="9"/>
      <c r="K170" s="9"/>
      <c r="L170" s="9"/>
      <c r="M170" s="9"/>
      <c r="N170" s="9"/>
      <c r="O170" s="5" t="str">
        <f t="shared" si="8"/>
        <v/>
      </c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4" t="str">
        <f t="shared" si="6"/>
        <v/>
      </c>
      <c r="I171" s="4" t="str">
        <f t="shared" si="7"/>
        <v/>
      </c>
      <c r="J171" s="9"/>
      <c r="K171" s="9"/>
      <c r="L171" s="9"/>
      <c r="M171" s="9"/>
      <c r="N171" s="9"/>
      <c r="O171" s="4" t="str">
        <f t="shared" si="8"/>
        <v/>
      </c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5" t="str">
        <f t="shared" si="6"/>
        <v/>
      </c>
      <c r="I172" s="5" t="str">
        <f t="shared" si="7"/>
        <v/>
      </c>
      <c r="J172" s="9"/>
      <c r="K172" s="9"/>
      <c r="L172" s="9"/>
      <c r="M172" s="9"/>
      <c r="N172" s="9"/>
      <c r="O172" s="5" t="str">
        <f t="shared" si="8"/>
        <v/>
      </c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4" t="str">
        <f t="shared" si="6"/>
        <v/>
      </c>
      <c r="I173" s="4" t="str">
        <f t="shared" si="7"/>
        <v/>
      </c>
      <c r="J173" s="9"/>
      <c r="K173" s="9"/>
      <c r="L173" s="9"/>
      <c r="M173" s="9"/>
      <c r="N173" s="9"/>
      <c r="O173" s="4" t="str">
        <f t="shared" si="8"/>
        <v/>
      </c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5" t="str">
        <f t="shared" si="6"/>
        <v/>
      </c>
      <c r="I174" s="5" t="str">
        <f t="shared" si="7"/>
        <v/>
      </c>
      <c r="J174" s="9"/>
      <c r="K174" s="9"/>
      <c r="L174" s="9"/>
      <c r="M174" s="9"/>
      <c r="N174" s="9"/>
      <c r="O174" s="5" t="str">
        <f t="shared" si="8"/>
        <v/>
      </c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4" t="str">
        <f t="shared" si="6"/>
        <v/>
      </c>
      <c r="I175" s="4" t="str">
        <f t="shared" si="7"/>
        <v/>
      </c>
      <c r="J175" s="9"/>
      <c r="K175" s="9"/>
      <c r="L175" s="9"/>
      <c r="M175" s="9"/>
      <c r="N175" s="9"/>
      <c r="O175" s="4" t="str">
        <f t="shared" si="8"/>
        <v/>
      </c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5" t="str">
        <f t="shared" si="6"/>
        <v/>
      </c>
      <c r="I176" s="5" t="str">
        <f t="shared" si="7"/>
        <v/>
      </c>
      <c r="J176" s="9"/>
      <c r="K176" s="9"/>
      <c r="L176" s="9"/>
      <c r="M176" s="9"/>
      <c r="N176" s="9"/>
      <c r="O176" s="5" t="str">
        <f t="shared" si="8"/>
        <v/>
      </c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4" t="str">
        <f t="shared" si="6"/>
        <v/>
      </c>
      <c r="I177" s="4" t="str">
        <f t="shared" si="7"/>
        <v/>
      </c>
      <c r="J177" s="9"/>
      <c r="K177" s="9"/>
      <c r="L177" s="9"/>
      <c r="M177" s="9"/>
      <c r="N177" s="9"/>
      <c r="O177" s="4" t="str">
        <f t="shared" si="8"/>
        <v/>
      </c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5" t="str">
        <f t="shared" si="6"/>
        <v/>
      </c>
      <c r="I178" s="5" t="str">
        <f t="shared" si="7"/>
        <v/>
      </c>
      <c r="J178" s="9"/>
      <c r="K178" s="9"/>
      <c r="L178" s="9"/>
      <c r="M178" s="9"/>
      <c r="N178" s="9"/>
      <c r="O178" s="5" t="str">
        <f t="shared" si="8"/>
        <v/>
      </c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4" t="str">
        <f t="shared" si="6"/>
        <v/>
      </c>
      <c r="I179" s="4" t="str">
        <f t="shared" si="7"/>
        <v/>
      </c>
      <c r="J179" s="9"/>
      <c r="K179" s="9"/>
      <c r="L179" s="9"/>
      <c r="M179" s="9"/>
      <c r="N179" s="9"/>
      <c r="O179" s="4" t="str">
        <f t="shared" si="8"/>
        <v/>
      </c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5" t="str">
        <f t="shared" si="6"/>
        <v/>
      </c>
      <c r="I180" s="5" t="str">
        <f t="shared" si="7"/>
        <v/>
      </c>
      <c r="J180" s="9"/>
      <c r="K180" s="9"/>
      <c r="L180" s="9"/>
      <c r="M180" s="9"/>
      <c r="N180" s="9"/>
      <c r="O180" s="5" t="str">
        <f t="shared" si="8"/>
        <v/>
      </c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4" t="str">
        <f t="shared" si="6"/>
        <v/>
      </c>
      <c r="I181" s="4" t="str">
        <f t="shared" si="7"/>
        <v/>
      </c>
      <c r="J181" s="9"/>
      <c r="K181" s="9"/>
      <c r="L181" s="9"/>
      <c r="M181" s="9"/>
      <c r="N181" s="9"/>
      <c r="O181" s="4" t="str">
        <f t="shared" si="8"/>
        <v/>
      </c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5" t="str">
        <f t="shared" si="6"/>
        <v/>
      </c>
      <c r="I182" s="5" t="str">
        <f t="shared" si="7"/>
        <v/>
      </c>
      <c r="J182" s="9"/>
      <c r="K182" s="9"/>
      <c r="L182" s="9"/>
      <c r="M182" s="9"/>
      <c r="N182" s="9"/>
      <c r="O182" s="5" t="str">
        <f t="shared" si="8"/>
        <v/>
      </c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4" t="str">
        <f t="shared" si="6"/>
        <v/>
      </c>
      <c r="I183" s="4" t="str">
        <f t="shared" si="7"/>
        <v/>
      </c>
      <c r="J183" s="9"/>
      <c r="K183" s="9"/>
      <c r="L183" s="9"/>
      <c r="M183" s="9"/>
      <c r="N183" s="9"/>
      <c r="O183" s="4" t="str">
        <f t="shared" si="8"/>
        <v/>
      </c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5" t="str">
        <f t="shared" si="6"/>
        <v/>
      </c>
      <c r="I184" s="5" t="str">
        <f t="shared" si="7"/>
        <v/>
      </c>
      <c r="J184" s="9"/>
      <c r="K184" s="9"/>
      <c r="L184" s="9"/>
      <c r="M184" s="9"/>
      <c r="N184" s="9"/>
      <c r="O184" s="5" t="str">
        <f t="shared" si="8"/>
        <v/>
      </c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4" t="str">
        <f t="shared" si="6"/>
        <v/>
      </c>
      <c r="I185" s="4" t="str">
        <f t="shared" si="7"/>
        <v/>
      </c>
      <c r="J185" s="9"/>
      <c r="K185" s="9"/>
      <c r="L185" s="9"/>
      <c r="M185" s="9"/>
      <c r="N185" s="9"/>
      <c r="O185" s="4" t="str">
        <f t="shared" si="8"/>
        <v/>
      </c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5" t="str">
        <f t="shared" si="6"/>
        <v/>
      </c>
      <c r="I186" s="5" t="str">
        <f t="shared" si="7"/>
        <v/>
      </c>
      <c r="J186" s="9"/>
      <c r="K186" s="9"/>
      <c r="L186" s="9"/>
      <c r="M186" s="9"/>
      <c r="N186" s="9"/>
      <c r="O186" s="5" t="str">
        <f t="shared" si="8"/>
        <v/>
      </c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4" t="str">
        <f t="shared" si="6"/>
        <v/>
      </c>
      <c r="I187" s="4" t="str">
        <f t="shared" si="7"/>
        <v/>
      </c>
      <c r="J187" s="9"/>
      <c r="K187" s="9"/>
      <c r="L187" s="9"/>
      <c r="M187" s="9"/>
      <c r="N187" s="9"/>
      <c r="O187" s="4" t="str">
        <f t="shared" si="8"/>
        <v/>
      </c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5" t="str">
        <f t="shared" si="6"/>
        <v/>
      </c>
      <c r="I188" s="5" t="str">
        <f t="shared" si="7"/>
        <v/>
      </c>
      <c r="J188" s="9"/>
      <c r="K188" s="9"/>
      <c r="L188" s="9"/>
      <c r="M188" s="9"/>
      <c r="N188" s="9"/>
      <c r="O188" s="5" t="str">
        <f t="shared" si="8"/>
        <v/>
      </c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4" t="str">
        <f t="shared" si="6"/>
        <v/>
      </c>
      <c r="I189" s="4" t="str">
        <f t="shared" si="7"/>
        <v/>
      </c>
      <c r="J189" s="9"/>
      <c r="K189" s="9"/>
      <c r="L189" s="9"/>
      <c r="M189" s="9"/>
      <c r="N189" s="9"/>
      <c r="O189" s="4" t="str">
        <f t="shared" si="8"/>
        <v/>
      </c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5" t="str">
        <f t="shared" si="6"/>
        <v/>
      </c>
      <c r="I190" s="5" t="str">
        <f t="shared" si="7"/>
        <v/>
      </c>
      <c r="J190" s="9"/>
      <c r="K190" s="9"/>
      <c r="L190" s="9"/>
      <c r="M190" s="9"/>
      <c r="N190" s="9"/>
      <c r="O190" s="5" t="str">
        <f t="shared" si="8"/>
        <v/>
      </c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4" t="str">
        <f t="shared" si="6"/>
        <v/>
      </c>
      <c r="I191" s="4" t="str">
        <f t="shared" si="7"/>
        <v/>
      </c>
      <c r="J191" s="9"/>
      <c r="K191" s="9"/>
      <c r="L191" s="9"/>
      <c r="M191" s="9"/>
      <c r="N191" s="9"/>
      <c r="O191" s="4" t="str">
        <f t="shared" si="8"/>
        <v/>
      </c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5" t="str">
        <f t="shared" si="6"/>
        <v/>
      </c>
      <c r="I192" s="5" t="str">
        <f t="shared" si="7"/>
        <v/>
      </c>
      <c r="J192" s="9"/>
      <c r="K192" s="9"/>
      <c r="L192" s="9"/>
      <c r="M192" s="9"/>
      <c r="N192" s="9"/>
      <c r="O192" s="5" t="str">
        <f t="shared" si="8"/>
        <v/>
      </c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4" t="str">
        <f t="shared" si="6"/>
        <v/>
      </c>
      <c r="I193" s="4" t="str">
        <f t="shared" si="7"/>
        <v/>
      </c>
      <c r="J193" s="9"/>
      <c r="K193" s="9"/>
      <c r="L193" s="9"/>
      <c r="M193" s="9"/>
      <c r="N193" s="9"/>
      <c r="O193" s="4" t="str">
        <f t="shared" si="8"/>
        <v/>
      </c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5" t="str">
        <f t="shared" si="6"/>
        <v/>
      </c>
      <c r="I194" s="5" t="str">
        <f t="shared" si="7"/>
        <v/>
      </c>
      <c r="J194" s="9"/>
      <c r="K194" s="9"/>
      <c r="L194" s="9"/>
      <c r="M194" s="9"/>
      <c r="N194" s="9"/>
      <c r="O194" s="5" t="str">
        <f t="shared" si="8"/>
        <v/>
      </c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4" t="str">
        <f t="shared" si="6"/>
        <v/>
      </c>
      <c r="I195" s="4" t="str">
        <f t="shared" si="7"/>
        <v/>
      </c>
      <c r="J195" s="9"/>
      <c r="K195" s="9"/>
      <c r="L195" s="9"/>
      <c r="M195" s="9"/>
      <c r="N195" s="9"/>
      <c r="O195" s="4" t="str">
        <f t="shared" si="8"/>
        <v/>
      </c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5" t="str">
        <f t="shared" si="6"/>
        <v/>
      </c>
      <c r="I196" s="5" t="str">
        <f t="shared" si="7"/>
        <v/>
      </c>
      <c r="J196" s="9"/>
      <c r="K196" s="9"/>
      <c r="L196" s="9"/>
      <c r="M196" s="9"/>
      <c r="N196" s="9"/>
      <c r="O196" s="5" t="str">
        <f t="shared" si="8"/>
        <v/>
      </c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4" t="str">
        <f t="shared" ref="H197:H204" si="9">IF(A197="","",E197+F197)</f>
        <v/>
      </c>
      <c r="I197" s="4" t="str">
        <f t="shared" ref="I197:I204" si="10">IF(A197="","",IF(D197+E197+F197+G197=C197,"OK","CHECK"))</f>
        <v/>
      </c>
      <c r="J197" s="9"/>
      <c r="K197" s="9"/>
      <c r="L197" s="9"/>
      <c r="M197" s="9"/>
      <c r="N197" s="9"/>
      <c r="O197" s="4" t="str">
        <f t="shared" ref="O197:O204" si="11">IF(OR(M197="",N197=""),"",IF(M197=N197,"Yes","No"))</f>
        <v/>
      </c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5" t="str">
        <f t="shared" si="9"/>
        <v/>
      </c>
      <c r="I198" s="5" t="str">
        <f t="shared" si="10"/>
        <v/>
      </c>
      <c r="J198" s="9"/>
      <c r="K198" s="9"/>
      <c r="L198" s="9"/>
      <c r="M198" s="9"/>
      <c r="N198" s="9"/>
      <c r="O198" s="5" t="str">
        <f t="shared" si="11"/>
        <v/>
      </c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4" t="str">
        <f t="shared" si="9"/>
        <v/>
      </c>
      <c r="I199" s="4" t="str">
        <f t="shared" si="10"/>
        <v/>
      </c>
      <c r="J199" s="9"/>
      <c r="K199" s="9"/>
      <c r="L199" s="9"/>
      <c r="M199" s="9"/>
      <c r="N199" s="9"/>
      <c r="O199" s="4" t="str">
        <f t="shared" si="11"/>
        <v/>
      </c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5" t="str">
        <f t="shared" si="9"/>
        <v/>
      </c>
      <c r="I200" s="5" t="str">
        <f t="shared" si="10"/>
        <v/>
      </c>
      <c r="J200" s="9"/>
      <c r="K200" s="9"/>
      <c r="L200" s="9"/>
      <c r="M200" s="9"/>
      <c r="N200" s="9"/>
      <c r="O200" s="5" t="str">
        <f t="shared" si="11"/>
        <v/>
      </c>
      <c r="P200" s="9"/>
      <c r="Q200" s="9"/>
    </row>
    <row r="201" spans="1:17">
      <c r="A201" s="9"/>
      <c r="B201" s="9"/>
      <c r="C201" s="9"/>
      <c r="D201" s="9"/>
      <c r="E201" s="9"/>
      <c r="F201" s="9"/>
      <c r="G201" s="9"/>
      <c r="H201" s="4" t="str">
        <f t="shared" si="9"/>
        <v/>
      </c>
      <c r="I201" s="4" t="str">
        <f t="shared" si="10"/>
        <v/>
      </c>
      <c r="J201" s="9"/>
      <c r="K201" s="9"/>
      <c r="L201" s="9"/>
      <c r="M201" s="9"/>
      <c r="N201" s="9"/>
      <c r="O201" s="4" t="str">
        <f t="shared" si="11"/>
        <v/>
      </c>
      <c r="P201" s="9"/>
      <c r="Q201" s="9"/>
    </row>
    <row r="202" spans="1:17">
      <c r="A202" s="9"/>
      <c r="B202" s="9"/>
      <c r="C202" s="9"/>
      <c r="D202" s="9"/>
      <c r="E202" s="9"/>
      <c r="F202" s="9"/>
      <c r="G202" s="9"/>
      <c r="H202" s="5" t="str">
        <f t="shared" si="9"/>
        <v/>
      </c>
      <c r="I202" s="5" t="str">
        <f t="shared" si="10"/>
        <v/>
      </c>
      <c r="J202" s="9"/>
      <c r="K202" s="9"/>
      <c r="L202" s="9"/>
      <c r="M202" s="9"/>
      <c r="N202" s="9"/>
      <c r="O202" s="5" t="str">
        <f t="shared" si="11"/>
        <v/>
      </c>
      <c r="P202" s="9"/>
      <c r="Q202" s="9"/>
    </row>
    <row r="203" spans="1:17">
      <c r="A203" s="9"/>
      <c r="B203" s="9"/>
      <c r="C203" s="9"/>
      <c r="D203" s="9"/>
      <c r="E203" s="9"/>
      <c r="F203" s="9"/>
      <c r="G203" s="9"/>
      <c r="H203" s="4" t="str">
        <f t="shared" si="9"/>
        <v/>
      </c>
      <c r="I203" s="4" t="str">
        <f t="shared" si="10"/>
        <v/>
      </c>
      <c r="J203" s="9"/>
      <c r="K203" s="9"/>
      <c r="L203" s="9"/>
      <c r="M203" s="9"/>
      <c r="N203" s="9"/>
      <c r="O203" s="4" t="str">
        <f t="shared" si="11"/>
        <v/>
      </c>
      <c r="P203" s="9"/>
      <c r="Q203" s="9"/>
    </row>
    <row r="204" spans="1:17">
      <c r="A204" s="9"/>
      <c r="B204" s="9"/>
      <c r="C204" s="9"/>
      <c r="D204" s="9"/>
      <c r="E204" s="9"/>
      <c r="F204" s="9"/>
      <c r="G204" s="9"/>
      <c r="H204" s="5" t="str">
        <f t="shared" si="9"/>
        <v/>
      </c>
      <c r="I204" s="5" t="str">
        <f t="shared" si="10"/>
        <v/>
      </c>
      <c r="J204" s="9"/>
      <c r="K204" s="9"/>
      <c r="L204" s="9"/>
      <c r="M204" s="9"/>
      <c r="N204" s="9"/>
      <c r="O204" s="5" t="str">
        <f t="shared" si="11"/>
        <v/>
      </c>
      <c r="P204" s="9"/>
      <c r="Q204" s="9"/>
    </row>
  </sheetData>
  <autoFilter xmlns:etc="http://www.wps.cn/officeDocument/2017/etCustomData" ref="A4:Q204" etc:filterBottomFollowUsedRange="0">
    <extLst/>
  </autoFilter>
  <conditionalFormatting sqref="I5:I204">
    <cfRule type="cellIs" dxfId="3" priority="2" operator="equal">
      <formula>"CHECK"</formula>
    </cfRule>
  </conditionalFormatting>
  <dataValidations count="1">
    <dataValidation type="list" sqref="L5:L204">
      <formula1>"Yes,No"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:K20"/>
  <sheetViews>
    <sheetView showGridLines="0" tabSelected="1" workbookViewId="0">
      <pane ySplit="10" topLeftCell="A11" activePane="bottomLeft" state="frozen"/>
      <selection/>
      <selection pane="bottomLeft" activeCell="A1" sqref="A1"/>
    </sheetView>
  </sheetViews>
  <sheetFormatPr defaultColWidth="8.68181818181818" defaultRowHeight="14.5"/>
  <cols>
    <col min="1" max="1" width="34" customWidth="1"/>
    <col min="2" max="2" width="10" customWidth="1"/>
    <col min="3" max="3" width="20" customWidth="1"/>
    <col min="4" max="4" width="11" customWidth="1"/>
    <col min="5" max="5" width="9" customWidth="1"/>
    <col min="6" max="6" width="11" customWidth="1"/>
    <col min="7" max="8" width="12" customWidth="1"/>
    <col min="9" max="9" width="14" customWidth="1"/>
    <col min="10" max="10" width="16" customWidth="1"/>
    <col min="11" max="11" width="34" customWidth="1"/>
  </cols>
  <sheetData>
    <row r="1" ht="18" spans="1:11">
      <c r="A1" s="1" t="s">
        <v>563</v>
      </c>
    </row>
    <row r="2" spans="1:11">
      <c r="A2" s="2" t="s">
        <v>564</v>
      </c>
    </row>
    <row r="4" spans="1:11">
      <c r="A4" s="6" t="s">
        <v>565</v>
      </c>
    </row>
    <row r="5" spans="1:11">
      <c r="A5" s="7" t="s">
        <v>566</v>
      </c>
      <c r="B5" s="8">
        <v>3</v>
      </c>
      <c r="C5" s="2" t="s">
        <v>567</v>
      </c>
    </row>
    <row r="6" spans="1:11">
      <c r="A6" s="7" t="s">
        <v>568</v>
      </c>
      <c r="B6" s="8">
        <v>5</v>
      </c>
      <c r="C6" s="2" t="s">
        <v>569</v>
      </c>
    </row>
    <row r="7" spans="1:11">
      <c r="A7" s="7" t="s">
        <v>570</v>
      </c>
      <c r="B7" s="8">
        <v>5</v>
      </c>
      <c r="C7" s="2" t="s">
        <v>571</v>
      </c>
    </row>
    <row r="8" spans="1:11">
      <c r="A8" s="7" t="s">
        <v>572</v>
      </c>
      <c r="B8" s="8">
        <v>3</v>
      </c>
      <c r="C8" s="2" t="s">
        <v>573</v>
      </c>
    </row>
    <row r="9" spans="1:11">
      <c r="A9" s="7" t="s">
        <v>574</v>
      </c>
      <c r="B9" s="8">
        <v>200</v>
      </c>
      <c r="C9" s="2" t="s">
        <v>575</v>
      </c>
    </row>
    <row r="10" ht="31.5" customHeight="1" spans="1:11">
      <c r="A10" s="3" t="s">
        <v>576</v>
      </c>
      <c r="B10" s="3" t="s">
        <v>502</v>
      </c>
      <c r="C10" s="3" t="s">
        <v>343</v>
      </c>
      <c r="D10" s="3" t="s">
        <v>347</v>
      </c>
      <c r="E10" s="3" t="s">
        <v>577</v>
      </c>
      <c r="F10" s="3" t="s">
        <v>578</v>
      </c>
      <c r="G10" s="3" t="s">
        <v>579</v>
      </c>
      <c r="H10" s="3" t="s">
        <v>580</v>
      </c>
      <c r="I10" s="3" t="s">
        <v>581</v>
      </c>
      <c r="J10" s="3" t="s">
        <v>582</v>
      </c>
      <c r="K10" s="3" t="s">
        <v>583</v>
      </c>
    </row>
    <row r="11" spans="1:11">
      <c r="A11" s="4" t="s">
        <v>584</v>
      </c>
      <c r="B11" s="9" t="s">
        <v>362</v>
      </c>
      <c r="C11" s="4" t="str">
        <f>IF(B11="","",INDEX(Datasets!$B$5:$B$20,MATCH(B11,Datasets!$A$5:$A$20,0)))</f>
        <v>CrossModalQA</v>
      </c>
      <c r="D11" s="10">
        <f>B9</f>
        <v>200</v>
      </c>
      <c r="E11" s="4">
        <v>1</v>
      </c>
      <c r="F11" s="4">
        <f>B6</f>
        <v>5</v>
      </c>
      <c r="G11" s="4">
        <v>1</v>
      </c>
      <c r="H11" s="10">
        <f t="shared" ref="H11:H17" si="0">IFERROR(D11*E11*F11*G11,0)</f>
        <v>1000</v>
      </c>
      <c r="I11" s="11"/>
      <c r="J11" s="12" t="str">
        <f t="shared" ref="J11:J17" si="1">IF(I11="","",H11*I11)</f>
        <v/>
      </c>
      <c r="K11" s="4" t="s">
        <v>575</v>
      </c>
    </row>
    <row r="12" spans="1:11">
      <c r="A12" s="5" t="s">
        <v>585</v>
      </c>
      <c r="B12" s="9" t="s">
        <v>362</v>
      </c>
      <c r="C12" s="5" t="str">
        <f>IF(B12="","",INDEX(Datasets!$B$5:$B$20,MATCH(B12,Datasets!$A$5:$A$20,0)))</f>
        <v>CrossModalQA</v>
      </c>
      <c r="D12" s="13">
        <f>INDEX(Datasets!$F$5:$F$20,MATCH(B12,Datasets!$A$5:$A$20,0))</f>
        <v>1863</v>
      </c>
      <c r="E12" s="4">
        <f>B5</f>
        <v>3</v>
      </c>
      <c r="F12" s="4">
        <f>B6</f>
        <v>5</v>
      </c>
      <c r="G12" s="4">
        <f>B7</f>
        <v>5</v>
      </c>
      <c r="H12" s="13">
        <f t="shared" si="0"/>
        <v>139725</v>
      </c>
      <c r="I12" s="11"/>
      <c r="J12" s="14" t="str">
        <f t="shared" si="1"/>
        <v/>
      </c>
      <c r="K12" s="5" t="s">
        <v>586</v>
      </c>
    </row>
    <row r="13" spans="1:11">
      <c r="A13" s="4" t="s">
        <v>587</v>
      </c>
      <c r="B13" s="9" t="s">
        <v>362</v>
      </c>
      <c r="C13" s="4" t="str">
        <f>IF(B13="","",INDEX(Datasets!$B$5:$B$20,MATCH(B13,Datasets!$A$5:$A$20,0)))</f>
        <v>CrossModalQA</v>
      </c>
      <c r="D13" s="10">
        <f>INDEX(Datasets!$F$5:$F$20,MATCH(B13,Datasets!$A$5:$A$20,0))</f>
        <v>1863</v>
      </c>
      <c r="E13" s="4">
        <f>B5</f>
        <v>3</v>
      </c>
      <c r="F13" s="4">
        <f>B6</f>
        <v>5</v>
      </c>
      <c r="G13" s="4">
        <v>1</v>
      </c>
      <c r="H13" s="10">
        <f t="shared" si="0"/>
        <v>27945</v>
      </c>
      <c r="I13" s="11"/>
      <c r="J13" s="12" t="str">
        <f t="shared" si="1"/>
        <v/>
      </c>
      <c r="K13" s="4" t="s">
        <v>588</v>
      </c>
    </row>
    <row r="14" spans="1:11">
      <c r="A14" s="5" t="s">
        <v>589</v>
      </c>
      <c r="B14" s="9" t="s">
        <v>362</v>
      </c>
      <c r="C14" s="5" t="str">
        <f>IF(B14="","",INDEX(Datasets!$B$5:$B$20,MATCH(B14,Datasets!$A$5:$A$20,0)))</f>
        <v>CrossModalQA</v>
      </c>
      <c r="D14" s="13">
        <f>INDEX(Datasets!$F$5:$F$20,MATCH(B14,Datasets!$A$5:$A$20,0))</f>
        <v>1863</v>
      </c>
      <c r="E14" s="4">
        <f>B5</f>
        <v>3</v>
      </c>
      <c r="F14" s="4">
        <f>B6</f>
        <v>5</v>
      </c>
      <c r="G14" s="4">
        <v>1</v>
      </c>
      <c r="H14" s="13">
        <f t="shared" si="0"/>
        <v>27945</v>
      </c>
      <c r="I14" s="11"/>
      <c r="J14" s="14" t="str">
        <f t="shared" si="1"/>
        <v/>
      </c>
      <c r="K14" s="5" t="s">
        <v>588</v>
      </c>
    </row>
    <row r="15" spans="1:11">
      <c r="A15" s="4" t="s">
        <v>590</v>
      </c>
      <c r="B15" s="9" t="s">
        <v>375</v>
      </c>
      <c r="C15" s="4" t="str">
        <f>IF(B15="","",INDEX(Datasets!$B$5:$B$20,MATCH(B15,Datasets!$A$5:$A$20,0)))</f>
        <v>VisDocAgentBench</v>
      </c>
      <c r="D15" s="10">
        <f>INDEX(Datasets!$F$5:$F$20,MATCH(B15,Datasets!$A$5:$A$20,0))</f>
        <v>120</v>
      </c>
      <c r="E15" s="4">
        <f>B5</f>
        <v>3</v>
      </c>
      <c r="F15" s="4">
        <f>B6</f>
        <v>5</v>
      </c>
      <c r="G15" s="4">
        <v>1</v>
      </c>
      <c r="H15" s="10">
        <f t="shared" si="0"/>
        <v>1800</v>
      </c>
      <c r="I15" s="11"/>
      <c r="J15" s="12" t="str">
        <f t="shared" si="1"/>
        <v/>
      </c>
      <c r="K15" s="4" t="s">
        <v>591</v>
      </c>
    </row>
    <row r="16" spans="1:11">
      <c r="A16" s="5" t="s">
        <v>592</v>
      </c>
      <c r="B16" s="9" t="s">
        <v>385</v>
      </c>
      <c r="C16" s="5" t="str">
        <f>IF(B16="","",INDEX(Datasets!$B$5:$B$20,MATCH(B16,Datasets!$A$5:$A$20,0)))</f>
        <v>Double-Bench</v>
      </c>
      <c r="D16" s="13">
        <f>INDEX(Datasets!$F$5:$F$20,MATCH(B16,Datasets!$A$5:$A$20,0))</f>
        <v>5168</v>
      </c>
      <c r="E16" s="4">
        <f>B5</f>
        <v>3</v>
      </c>
      <c r="F16" s="4">
        <f>B6</f>
        <v>5</v>
      </c>
      <c r="G16" s="4">
        <v>1</v>
      </c>
      <c r="H16" s="13">
        <f t="shared" si="0"/>
        <v>77520</v>
      </c>
      <c r="I16" s="11"/>
      <c r="J16" s="14" t="str">
        <f t="shared" si="1"/>
        <v/>
      </c>
      <c r="K16" s="5" t="s">
        <v>593</v>
      </c>
    </row>
    <row r="17" spans="1:11">
      <c r="A17" s="4" t="s">
        <v>594</v>
      </c>
      <c r="B17" s="9" t="s">
        <v>394</v>
      </c>
      <c r="C17" s="4" t="str">
        <f>IF(B17="","",INDEX(Datasets!$B$5:$B$20,MATCH(B17,Datasets!$A$5:$A$20,0)))</f>
        <v>BrowseComp-V3</v>
      </c>
      <c r="D17" s="10">
        <f>INDEX(Datasets!$F$5:$F$20,MATCH(B17,Datasets!$A$5:$A$20,0))</f>
        <v>300</v>
      </c>
      <c r="E17" s="4">
        <f>B5</f>
        <v>3</v>
      </c>
      <c r="F17" s="4">
        <f>B6</f>
        <v>5</v>
      </c>
      <c r="G17" s="4">
        <v>1</v>
      </c>
      <c r="H17" s="10">
        <f t="shared" si="0"/>
        <v>4500</v>
      </c>
      <c r="I17" s="11"/>
      <c r="J17" s="12" t="str">
        <f t="shared" si="1"/>
        <v/>
      </c>
      <c r="K17" s="4" t="s">
        <v>595</v>
      </c>
    </row>
    <row r="18" spans="1:11">
      <c r="A18" s="15" t="s">
        <v>596</v>
      </c>
      <c r="H18" s="16">
        <f>SUM(H11:H17)</f>
        <v>280435</v>
      </c>
      <c r="J18" s="17" t="str">
        <f>IF(COUNT(J11:J17)=0,"",SUM(J11:J17))</f>
        <v/>
      </c>
    </row>
    <row r="20" spans="1:11">
      <c r="A20" s="2" t="s">
        <v>597</v>
      </c>
    </row>
  </sheetData>
  <autoFilter xmlns:etc="http://www.wps.cn/officeDocument/2017/etCustomData" ref="A10:K18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04040"/>
  </sheetPr>
  <dimension ref="A1:D17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8.68181818181818" defaultRowHeight="14.5" outlineLevelCol="3"/>
  <cols>
    <col min="1" max="1" width="46" customWidth="1"/>
    <col min="2" max="2" width="52" customWidth="1"/>
    <col min="3" max="3" width="12" customWidth="1"/>
    <col min="4" max="4" width="46" customWidth="1"/>
  </cols>
  <sheetData>
    <row r="1" ht="18" spans="1:4">
      <c r="A1" s="1" t="s">
        <v>598</v>
      </c>
    </row>
    <row r="2" spans="1:4">
      <c r="A2" s="2" t="s">
        <v>599</v>
      </c>
    </row>
    <row r="4" ht="31.5" customHeight="1" spans="1:4">
      <c r="A4" s="3" t="s">
        <v>600</v>
      </c>
      <c r="B4" s="3" t="s">
        <v>518</v>
      </c>
      <c r="C4" s="3" t="s">
        <v>601</v>
      </c>
      <c r="D4" s="3" t="s">
        <v>602</v>
      </c>
    </row>
    <row r="5" spans="1:4">
      <c r="A5" s="4" t="s">
        <v>603</v>
      </c>
      <c r="B5" s="4" t="s">
        <v>604</v>
      </c>
      <c r="C5" s="4" t="s">
        <v>605</v>
      </c>
      <c r="D5" s="4" t="s">
        <v>606</v>
      </c>
    </row>
    <row r="6" spans="1:4">
      <c r="A6" s="5" t="s">
        <v>607</v>
      </c>
      <c r="B6" s="5" t="s">
        <v>608</v>
      </c>
      <c r="C6" s="5" t="s">
        <v>605</v>
      </c>
      <c r="D6" s="5" t="s">
        <v>609</v>
      </c>
    </row>
    <row r="7" spans="1:4">
      <c r="A7" s="4" t="s">
        <v>610</v>
      </c>
      <c r="B7" s="4" t="s">
        <v>604</v>
      </c>
      <c r="C7" s="4" t="s">
        <v>605</v>
      </c>
      <c r="D7" s="4" t="s">
        <v>611</v>
      </c>
    </row>
    <row r="8" spans="1:4">
      <c r="A8" s="5" t="s">
        <v>612</v>
      </c>
      <c r="B8" s="5" t="s">
        <v>613</v>
      </c>
      <c r="C8" s="5" t="s">
        <v>605</v>
      </c>
      <c r="D8" s="5" t="s">
        <v>614</v>
      </c>
    </row>
    <row r="9" spans="1:4">
      <c r="A9" s="4" t="s">
        <v>615</v>
      </c>
      <c r="B9" s="4" t="s">
        <v>613</v>
      </c>
      <c r="C9" s="4" t="s">
        <v>605</v>
      </c>
      <c r="D9" s="4" t="s">
        <v>616</v>
      </c>
    </row>
    <row r="10" spans="1:4">
      <c r="A10" s="5" t="s">
        <v>617</v>
      </c>
      <c r="B10" s="5" t="s">
        <v>618</v>
      </c>
      <c r="C10" s="5" t="s">
        <v>605</v>
      </c>
      <c r="D10" s="5" t="s">
        <v>619</v>
      </c>
    </row>
    <row r="11" ht="23" spans="1:4">
      <c r="A11" s="4" t="s">
        <v>620</v>
      </c>
      <c r="B11" s="4" t="s">
        <v>621</v>
      </c>
      <c r="C11" s="4" t="s">
        <v>605</v>
      </c>
      <c r="D11" s="4" t="s">
        <v>622</v>
      </c>
    </row>
    <row r="12" spans="1:4">
      <c r="A12" s="5" t="s">
        <v>623</v>
      </c>
      <c r="B12" s="5" t="s">
        <v>624</v>
      </c>
      <c r="C12" s="5" t="s">
        <v>605</v>
      </c>
      <c r="D12" s="5" t="s">
        <v>625</v>
      </c>
    </row>
    <row r="13" spans="1:4">
      <c r="A13" s="4" t="s">
        <v>626</v>
      </c>
      <c r="B13" s="4" t="s">
        <v>627</v>
      </c>
      <c r="C13" s="4" t="s">
        <v>605</v>
      </c>
      <c r="D13" s="4" t="s">
        <v>628</v>
      </c>
    </row>
    <row r="14" spans="1:4">
      <c r="A14" s="5" t="s">
        <v>629</v>
      </c>
      <c r="B14" s="5" t="s">
        <v>630</v>
      </c>
      <c r="C14" s="5" t="s">
        <v>605</v>
      </c>
      <c r="D14" s="5" t="s">
        <v>631</v>
      </c>
    </row>
    <row r="15" spans="1:4">
      <c r="A15" s="4" t="s">
        <v>632</v>
      </c>
      <c r="B15" s="4" t="s">
        <v>633</v>
      </c>
      <c r="C15" s="4" t="s">
        <v>605</v>
      </c>
      <c r="D15" s="4" t="s">
        <v>634</v>
      </c>
    </row>
    <row r="16" spans="1:4">
      <c r="A16" s="5" t="s">
        <v>635</v>
      </c>
      <c r="B16" s="5" t="s">
        <v>636</v>
      </c>
      <c r="C16" s="5" t="s">
        <v>605</v>
      </c>
      <c r="D16" s="5" t="s">
        <v>637</v>
      </c>
    </row>
    <row r="17" spans="1:4">
      <c r="A17" s="4" t="s">
        <v>638</v>
      </c>
      <c r="B17" s="4" t="s">
        <v>639</v>
      </c>
      <c r="C17" s="4" t="s">
        <v>605</v>
      </c>
      <c r="D17" s="4" t="s">
        <v>640</v>
      </c>
    </row>
  </sheetData>
  <autoFilter xmlns:etc="http://www.wps.cn/officeDocument/2017/etCustomData" ref="A4:D1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Sheet</vt:lpstr>
      <vt:lpstr>Papers</vt:lpstr>
      <vt:lpstr>Datasets</vt:lpstr>
      <vt:lpstr>Paper_Dataset_Map</vt:lpstr>
      <vt:lpstr>Our_Dataset_Plan</vt:lpstr>
      <vt:lpstr>Annotation_Template</vt:lpstr>
      <vt:lpstr>Run_Plan</vt:lpstr>
      <vt:lpstr>Verification_Log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Mahin Bin Marfath</cp:lastModifiedBy>
  <cp:revision>1</cp:revision>
  <dcterms:created xsi:type="dcterms:W3CDTF">2026-10-02T15:15:00Z</dcterms:created>
  <dcterms:modified xsi:type="dcterms:W3CDTF">2026-10-02T15:18:37Z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5B6FD91A586249FBA75BFC874454AE8D_12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